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igData\experiments\"/>
    </mc:Choice>
  </mc:AlternateContent>
  <xr:revisionPtr revIDLastSave="0" documentId="13_ncr:1_{8FEFE83D-8A55-4420-9695-256E46E350BE}" xr6:coauthVersionLast="47" xr6:coauthVersionMax="47" xr10:uidLastSave="{00000000-0000-0000-0000-000000000000}"/>
  <bookViews>
    <workbookView xWindow="3310" yWindow="2210" windowWidth="19200" windowHeight="11710" xr2:uid="{00000000-000D-0000-FFFF-FFFF00000000}"/>
  </bookViews>
  <sheets>
    <sheet name="Tổng hợp" sheetId="1" r:id="rId1"/>
    <sheet name="Chi tiết" sheetId="2" r:id="rId2"/>
    <sheet name="Bỏ theo EDA" sheetId="3" r:id="rId3"/>
    <sheet name="Chú thích" sheetId="4" r:id="rId4"/>
  </sheets>
  <definedNames>
    <definedName name="_xlnm._FilterDatabase" localSheetId="2" hidden="1">'Bỏ theo EDA'!$A$1:$D$9</definedName>
    <definedName name="_xlnm._FilterDatabase" localSheetId="1" hidden="1">'Chi tiết'!$A$1:$I$349</definedName>
    <definedName name="_xlnm._FilterDatabase" localSheetId="0" hidden="1">'Tổng hợp'!$A$1:$M$45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9" i="2" l="1"/>
  <c r="I348" i="2"/>
  <c r="I347" i="2"/>
  <c r="I346" i="2"/>
  <c r="I345" i="2"/>
  <c r="I344" i="2"/>
  <c r="I343" i="2"/>
  <c r="I342" i="2"/>
  <c r="I341" i="2"/>
  <c r="J43" i="1" s="1"/>
  <c r="I340" i="2"/>
  <c r="I339" i="2"/>
  <c r="I338" i="2"/>
  <c r="I337" i="2"/>
  <c r="I336" i="2"/>
  <c r="I335" i="2"/>
  <c r="J41" i="1" s="1"/>
  <c r="I334" i="2"/>
  <c r="J40" i="1" s="1"/>
  <c r="I333" i="2"/>
  <c r="I332" i="2"/>
  <c r="I331" i="2"/>
  <c r="I330" i="2"/>
  <c r="I329" i="2"/>
  <c r="I328" i="2"/>
  <c r="I327" i="2"/>
  <c r="I326" i="2"/>
  <c r="I325" i="2"/>
  <c r="I324" i="2"/>
  <c r="I323" i="2"/>
  <c r="I322" i="2"/>
  <c r="G37" i="1" s="1"/>
  <c r="I321" i="2"/>
  <c r="H37" i="1" s="1"/>
  <c r="I320" i="2"/>
  <c r="I319" i="2"/>
  <c r="I318" i="2"/>
  <c r="I37" i="1" s="1"/>
  <c r="I317" i="2"/>
  <c r="I316" i="2"/>
  <c r="I315" i="2"/>
  <c r="I314" i="2"/>
  <c r="I313" i="2"/>
  <c r="I312" i="2"/>
  <c r="I311" i="2"/>
  <c r="I310" i="2"/>
  <c r="I309" i="2"/>
  <c r="I308" i="2"/>
  <c r="F36" i="1" s="1"/>
  <c r="I307" i="2"/>
  <c r="I306" i="2"/>
  <c r="I305" i="2"/>
  <c r="I304" i="2"/>
  <c r="I303" i="2"/>
  <c r="H35" i="1" s="1"/>
  <c r="I302" i="2"/>
  <c r="G35" i="1" s="1"/>
  <c r="I301" i="2"/>
  <c r="I300" i="2"/>
  <c r="I299" i="2"/>
  <c r="I298" i="2"/>
  <c r="I297" i="2"/>
  <c r="I296" i="2"/>
  <c r="I295" i="2"/>
  <c r="I294" i="2"/>
  <c r="I293" i="2"/>
  <c r="G34" i="1" s="1"/>
  <c r="I292" i="2"/>
  <c r="I291" i="2"/>
  <c r="I290" i="2"/>
  <c r="J34" i="1" s="1"/>
  <c r="I289" i="2"/>
  <c r="H33" i="1" s="1"/>
  <c r="I288" i="2"/>
  <c r="I287" i="2"/>
  <c r="I286" i="2"/>
  <c r="G33" i="1" s="1"/>
  <c r="I285" i="2"/>
  <c r="I284" i="2"/>
  <c r="I283" i="2"/>
  <c r="I282" i="2"/>
  <c r="I281" i="2"/>
  <c r="I280" i="2"/>
  <c r="I279" i="2"/>
  <c r="I278" i="2"/>
  <c r="I277" i="2"/>
  <c r="I276" i="2"/>
  <c r="I275" i="2"/>
  <c r="G32" i="1" s="1"/>
  <c r="I274" i="2"/>
  <c r="I273" i="2"/>
  <c r="F32" i="1" s="1"/>
  <c r="I272" i="2"/>
  <c r="I271" i="2"/>
  <c r="H31" i="1" s="1"/>
  <c r="I270" i="2"/>
  <c r="J31" i="1" s="1"/>
  <c r="I269" i="2"/>
  <c r="I268" i="2"/>
  <c r="I267" i="2"/>
  <c r="I266" i="2"/>
  <c r="I265" i="2"/>
  <c r="I264" i="2"/>
  <c r="I263" i="2"/>
  <c r="I262" i="2"/>
  <c r="I261" i="2"/>
  <c r="I260" i="2"/>
  <c r="I259" i="2"/>
  <c r="I258" i="2"/>
  <c r="H30" i="1" s="1"/>
  <c r="I257" i="2"/>
  <c r="G30" i="1" s="1"/>
  <c r="I256" i="2"/>
  <c r="I255" i="2"/>
  <c r="I254" i="2"/>
  <c r="F30" i="1" s="1"/>
  <c r="I253" i="2"/>
  <c r="I252" i="2"/>
  <c r="I251" i="2"/>
  <c r="I250" i="2"/>
  <c r="I249" i="2"/>
  <c r="I248" i="2"/>
  <c r="I247" i="2"/>
  <c r="I246" i="2"/>
  <c r="I245" i="2"/>
  <c r="F29" i="1" s="1"/>
  <c r="I244" i="2"/>
  <c r="I243" i="2"/>
  <c r="I242" i="2"/>
  <c r="H28" i="1" s="1"/>
  <c r="I241" i="2"/>
  <c r="I240" i="2"/>
  <c r="I239" i="2"/>
  <c r="G28" i="1" s="1"/>
  <c r="I238" i="2"/>
  <c r="J28" i="1" s="1"/>
  <c r="I237" i="2"/>
  <c r="I236" i="2"/>
  <c r="I235" i="2"/>
  <c r="I234" i="2"/>
  <c r="I233" i="2"/>
  <c r="I232" i="2"/>
  <c r="I231" i="2"/>
  <c r="I230" i="2"/>
  <c r="I229" i="2"/>
  <c r="I228" i="2"/>
  <c r="I227" i="2"/>
  <c r="J27" i="1" s="1"/>
  <c r="I226" i="2"/>
  <c r="I225" i="2"/>
  <c r="I224" i="2"/>
  <c r="I223" i="2"/>
  <c r="I222" i="2"/>
  <c r="J26" i="1" s="1"/>
  <c r="I221" i="2"/>
  <c r="I220" i="2"/>
  <c r="I219" i="2"/>
  <c r="I218" i="2"/>
  <c r="I217" i="2"/>
  <c r="I216" i="2"/>
  <c r="I215" i="2"/>
  <c r="I214" i="2"/>
  <c r="I213" i="2"/>
  <c r="I212" i="2"/>
  <c r="G25" i="1" s="1"/>
  <c r="I211" i="2"/>
  <c r="I210" i="2"/>
  <c r="I209" i="2"/>
  <c r="J25" i="1" s="1"/>
  <c r="I208" i="2"/>
  <c r="I207" i="2"/>
  <c r="G24" i="1" s="1"/>
  <c r="I206" i="2"/>
  <c r="J24" i="1" s="1"/>
  <c r="I205" i="2"/>
  <c r="I204" i="2"/>
  <c r="I203" i="2"/>
  <c r="I202" i="2"/>
  <c r="I201" i="2"/>
  <c r="I200" i="2"/>
  <c r="I199" i="2"/>
  <c r="I198" i="2"/>
  <c r="I197" i="2"/>
  <c r="I196" i="2"/>
  <c r="I195" i="2"/>
  <c r="I194" i="2"/>
  <c r="G23" i="1" s="1"/>
  <c r="I193" i="2"/>
  <c r="J23" i="1" s="1"/>
  <c r="I192" i="2"/>
  <c r="I191" i="2"/>
  <c r="I190" i="2"/>
  <c r="I22" i="1" s="1"/>
  <c r="I189" i="2"/>
  <c r="I188" i="2"/>
  <c r="I187" i="2"/>
  <c r="I186" i="2"/>
  <c r="I185" i="2"/>
  <c r="I184" i="2"/>
  <c r="I183" i="2"/>
  <c r="I182" i="2"/>
  <c r="I181" i="2"/>
  <c r="I180" i="2"/>
  <c r="I179" i="2"/>
  <c r="I178" i="2"/>
  <c r="G21" i="1" s="1"/>
  <c r="I177" i="2"/>
  <c r="H21" i="1" s="1"/>
  <c r="I176" i="2"/>
  <c r="I175" i="2"/>
  <c r="I174" i="2"/>
  <c r="I21" i="1" s="1"/>
  <c r="I173" i="2"/>
  <c r="I172" i="2"/>
  <c r="I171" i="2"/>
  <c r="I170" i="2"/>
  <c r="I169" i="2"/>
  <c r="I168" i="2"/>
  <c r="I167" i="2"/>
  <c r="I166" i="2"/>
  <c r="I165" i="2"/>
  <c r="I164" i="2"/>
  <c r="F20" i="1" s="1"/>
  <c r="I163" i="2"/>
  <c r="I162" i="2"/>
  <c r="I161" i="2"/>
  <c r="I160" i="2"/>
  <c r="I159" i="2"/>
  <c r="H19" i="1" s="1"/>
  <c r="I158" i="2"/>
  <c r="G19" i="1" s="1"/>
  <c r="I157" i="2"/>
  <c r="I156" i="2"/>
  <c r="I155" i="2"/>
  <c r="I154" i="2"/>
  <c r="I153" i="2"/>
  <c r="I152" i="2"/>
  <c r="I151" i="2"/>
  <c r="I150" i="2"/>
  <c r="I149" i="2"/>
  <c r="I148" i="2"/>
  <c r="I147" i="2"/>
  <c r="I146" i="2"/>
  <c r="J18" i="1" s="1"/>
  <c r="I145" i="2"/>
  <c r="H17" i="1" s="1"/>
  <c r="I144" i="2"/>
  <c r="I143" i="2"/>
  <c r="I142" i="2"/>
  <c r="G17" i="1" s="1"/>
  <c r="I141" i="2"/>
  <c r="I140" i="2"/>
  <c r="I139" i="2"/>
  <c r="I138" i="2"/>
  <c r="I137" i="2"/>
  <c r="I136" i="2"/>
  <c r="I135" i="2"/>
  <c r="I134" i="2"/>
  <c r="I133" i="2"/>
  <c r="I132" i="2"/>
  <c r="I131" i="2"/>
  <c r="G16" i="1" s="1"/>
  <c r="I130" i="2"/>
  <c r="I129" i="2"/>
  <c r="F16" i="1" s="1"/>
  <c r="I128" i="2"/>
  <c r="I127" i="2"/>
  <c r="H15" i="1" s="1"/>
  <c r="I126" i="2"/>
  <c r="J15" i="1" s="1"/>
  <c r="I125" i="2"/>
  <c r="I124" i="2"/>
  <c r="I123" i="2"/>
  <c r="I122" i="2"/>
  <c r="I121" i="2"/>
  <c r="I120" i="2"/>
  <c r="I119" i="2"/>
  <c r="I118" i="2"/>
  <c r="I117" i="2"/>
  <c r="I116" i="2"/>
  <c r="I115" i="2"/>
  <c r="I114" i="2"/>
  <c r="H14" i="1" s="1"/>
  <c r="I113" i="2"/>
  <c r="G14" i="1" s="1"/>
  <c r="I112" i="2"/>
  <c r="I111" i="2"/>
  <c r="I110" i="2"/>
  <c r="F14" i="1" s="1"/>
  <c r="I109" i="2"/>
  <c r="I108" i="2"/>
  <c r="I107" i="2"/>
  <c r="I106" i="2"/>
  <c r="I105" i="2"/>
  <c r="I104" i="2"/>
  <c r="I103" i="2"/>
  <c r="I102" i="2"/>
  <c r="I101" i="2"/>
  <c r="F13" i="1" s="1"/>
  <c r="I100" i="2"/>
  <c r="I99" i="2"/>
  <c r="I98" i="2"/>
  <c r="H12" i="1" s="1"/>
  <c r="I97" i="2"/>
  <c r="I96" i="2"/>
  <c r="I95" i="2"/>
  <c r="G12" i="1" s="1"/>
  <c r="I94" i="2"/>
  <c r="J12" i="1" s="1"/>
  <c r="I93" i="2"/>
  <c r="I92" i="2"/>
  <c r="I91" i="2"/>
  <c r="I90" i="2"/>
  <c r="I89" i="2"/>
  <c r="I88" i="2"/>
  <c r="I87" i="2"/>
  <c r="I86" i="2"/>
  <c r="I85" i="2"/>
  <c r="I84" i="2"/>
  <c r="I83" i="2"/>
  <c r="J11" i="1" s="1"/>
  <c r="I82" i="2"/>
  <c r="I81" i="2"/>
  <c r="I80" i="2"/>
  <c r="I79" i="2"/>
  <c r="I78" i="2"/>
  <c r="J10" i="1" s="1"/>
  <c r="I77" i="2"/>
  <c r="I76" i="2"/>
  <c r="I75" i="2"/>
  <c r="I74" i="2"/>
  <c r="I73" i="2"/>
  <c r="I72" i="2"/>
  <c r="I71" i="2"/>
  <c r="I70" i="2"/>
  <c r="I69" i="2"/>
  <c r="I68" i="2"/>
  <c r="G9" i="1" s="1"/>
  <c r="I67" i="2"/>
  <c r="I66" i="2"/>
  <c r="I65" i="2"/>
  <c r="J9" i="1" s="1"/>
  <c r="I64" i="2"/>
  <c r="I63" i="2"/>
  <c r="G8" i="1" s="1"/>
  <c r="I62" i="2"/>
  <c r="J8" i="1" s="1"/>
  <c r="I61" i="2"/>
  <c r="I60" i="2"/>
  <c r="I59" i="2"/>
  <c r="I58" i="2"/>
  <c r="I57" i="2"/>
  <c r="I56" i="2"/>
  <c r="I55" i="2"/>
  <c r="I54" i="2"/>
  <c r="I53" i="2"/>
  <c r="I52" i="2"/>
  <c r="I51" i="2"/>
  <c r="I50" i="2"/>
  <c r="G7" i="1" s="1"/>
  <c r="I49" i="2"/>
  <c r="J7" i="1" s="1"/>
  <c r="I48" i="2"/>
  <c r="I47" i="2"/>
  <c r="I46" i="2"/>
  <c r="I6" i="1" s="1"/>
  <c r="I45" i="2"/>
  <c r="I44" i="2"/>
  <c r="I43" i="2"/>
  <c r="I42" i="2"/>
  <c r="I41" i="2"/>
  <c r="I40" i="2"/>
  <c r="I39" i="2"/>
  <c r="I38" i="2"/>
  <c r="I37" i="2"/>
  <c r="I36" i="2"/>
  <c r="I35" i="2"/>
  <c r="I34" i="2"/>
  <c r="G5" i="1" s="1"/>
  <c r="I33" i="2"/>
  <c r="H5" i="1" s="1"/>
  <c r="I32" i="2"/>
  <c r="I31" i="2"/>
  <c r="I30" i="2"/>
  <c r="I5" i="1" s="1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H3" i="1" s="1"/>
  <c r="I14" i="2"/>
  <c r="G3" i="1" s="1"/>
  <c r="I13" i="2"/>
  <c r="I12" i="2"/>
  <c r="I11" i="2"/>
  <c r="I10" i="2"/>
  <c r="I9" i="2"/>
  <c r="I8" i="2"/>
  <c r="I7" i="2"/>
  <c r="I6" i="2"/>
  <c r="I5" i="2"/>
  <c r="I4" i="2"/>
  <c r="I3" i="2"/>
  <c r="I2" i="2"/>
  <c r="I2" i="1" s="1"/>
  <c r="J45" i="1"/>
  <c r="I45" i="1"/>
  <c r="H45" i="1"/>
  <c r="G45" i="1"/>
  <c r="F45" i="1"/>
  <c r="J44" i="1"/>
  <c r="I44" i="1"/>
  <c r="H44" i="1"/>
  <c r="G44" i="1"/>
  <c r="F44" i="1"/>
  <c r="H43" i="1"/>
  <c r="G43" i="1"/>
  <c r="F43" i="1"/>
  <c r="J42" i="1"/>
  <c r="I42" i="1"/>
  <c r="H42" i="1"/>
  <c r="G42" i="1"/>
  <c r="F42" i="1"/>
  <c r="H41" i="1"/>
  <c r="G41" i="1"/>
  <c r="H40" i="1"/>
  <c r="G40" i="1"/>
  <c r="J39" i="1"/>
  <c r="I39" i="1"/>
  <c r="H39" i="1"/>
  <c r="G39" i="1"/>
  <c r="F39" i="1"/>
  <c r="J38" i="1"/>
  <c r="I38" i="1"/>
  <c r="H38" i="1"/>
  <c r="G38" i="1"/>
  <c r="F38" i="1"/>
  <c r="J36" i="1"/>
  <c r="I36" i="1"/>
  <c r="H36" i="1"/>
  <c r="G36" i="1"/>
  <c r="I35" i="1"/>
  <c r="F35" i="1"/>
  <c r="H34" i="1"/>
  <c r="F33" i="1"/>
  <c r="I32" i="1"/>
  <c r="H32" i="1"/>
  <c r="F31" i="1"/>
  <c r="J29" i="1"/>
  <c r="I29" i="1"/>
  <c r="H29" i="1"/>
  <c r="G29" i="1"/>
  <c r="H27" i="1"/>
  <c r="G27" i="1"/>
  <c r="F27" i="1"/>
  <c r="G26" i="1"/>
  <c r="F26" i="1"/>
  <c r="H25" i="1"/>
  <c r="F24" i="1"/>
  <c r="H23" i="1"/>
  <c r="F23" i="1"/>
  <c r="J22" i="1"/>
  <c r="G22" i="1"/>
  <c r="F22" i="1"/>
  <c r="J20" i="1"/>
  <c r="I20" i="1"/>
  <c r="H20" i="1"/>
  <c r="G20" i="1"/>
  <c r="I19" i="1"/>
  <c r="F19" i="1"/>
  <c r="H18" i="1"/>
  <c r="G18" i="1"/>
  <c r="F17" i="1"/>
  <c r="I16" i="1"/>
  <c r="H16" i="1"/>
  <c r="F15" i="1"/>
  <c r="J13" i="1"/>
  <c r="I13" i="1"/>
  <c r="H13" i="1"/>
  <c r="G13" i="1"/>
  <c r="H11" i="1"/>
  <c r="G11" i="1"/>
  <c r="F11" i="1"/>
  <c r="G10" i="1"/>
  <c r="F10" i="1"/>
  <c r="H9" i="1"/>
  <c r="F8" i="1"/>
  <c r="H7" i="1"/>
  <c r="F7" i="1"/>
  <c r="J6" i="1"/>
  <c r="G6" i="1"/>
  <c r="F6" i="1"/>
  <c r="J4" i="1"/>
  <c r="I4" i="1"/>
  <c r="H4" i="1"/>
  <c r="G4" i="1"/>
  <c r="F4" i="1"/>
  <c r="I3" i="1"/>
  <c r="F3" i="1"/>
  <c r="H2" i="1"/>
  <c r="G2" i="1"/>
  <c r="J19" i="1" l="1"/>
  <c r="H10" i="1"/>
  <c r="J16" i="1"/>
  <c r="H26" i="1"/>
  <c r="J32" i="1"/>
  <c r="I17" i="1"/>
  <c r="F40" i="1"/>
  <c r="F5" i="1"/>
  <c r="I14" i="1"/>
  <c r="J17" i="1"/>
  <c r="F21" i="1"/>
  <c r="I30" i="1"/>
  <c r="J33" i="1"/>
  <c r="F37" i="1"/>
  <c r="F2" i="1"/>
  <c r="H8" i="1"/>
  <c r="I11" i="1"/>
  <c r="J14" i="1"/>
  <c r="F18" i="1"/>
  <c r="H24" i="1"/>
  <c r="I27" i="1"/>
  <c r="J30" i="1"/>
  <c r="F34" i="1"/>
  <c r="I43" i="1"/>
  <c r="I33" i="1"/>
  <c r="I24" i="1"/>
  <c r="I40" i="1"/>
  <c r="I10" i="1"/>
  <c r="I23" i="1"/>
  <c r="J5" i="1"/>
  <c r="I18" i="1"/>
  <c r="J21" i="1"/>
  <c r="F25" i="1"/>
  <c r="I34" i="1"/>
  <c r="J37" i="1"/>
  <c r="F41" i="1"/>
  <c r="J3" i="1"/>
  <c r="J35" i="1"/>
  <c r="I7" i="1"/>
  <c r="G31" i="1"/>
  <c r="F9" i="1"/>
  <c r="J2" i="1"/>
  <c r="I31" i="1"/>
  <c r="I8" i="1"/>
  <c r="G15" i="1"/>
  <c r="I28" i="1"/>
  <c r="F28" i="1"/>
  <c r="I41" i="1"/>
  <c r="I26" i="1"/>
  <c r="F12" i="1"/>
  <c r="I15" i="1"/>
  <c r="I12" i="1"/>
  <c r="H6" i="1"/>
  <c r="I9" i="1"/>
  <c r="H22" i="1"/>
  <c r="I25" i="1"/>
</calcChain>
</file>

<file path=xl/sharedStrings.xml><?xml version="1.0" encoding="utf-8"?>
<sst xmlns="http://schemas.openxmlformats.org/spreadsheetml/2006/main" count="2505" uniqueCount="307">
  <si>
    <t>ID</t>
  </si>
  <si>
    <t>Bài</t>
  </si>
  <si>
    <t>Thay đổi (so với bộ tham chiếu)</t>
  </si>
  <si>
    <t>Cột liên quan</t>
  </si>
  <si>
    <t>Quyết định</t>
  </si>
  <si>
    <t>Δ R² trung bình (regressor)</t>
  </si>
  <si>
    <t>Δ AUC trung bình (classifier)</t>
  </si>
  <si>
    <t>Δ AUC-PR trung bình (classifier)</t>
  </si>
  <si>
    <t>Δ nhỏ nhất</t>
  </si>
  <si>
    <t>Δ lớn nhất</t>
  </si>
  <si>
    <t>Lý do</t>
  </si>
  <si>
    <t>Folder test (experiments/)</t>
  </si>
  <si>
    <t>Mẫu và cách chia</t>
  </si>
  <si>
    <t>L1</t>
  </si>
  <si>
    <t>A, C</t>
  </si>
  <si>
    <t>Bỏ frequency encoding sân bay</t>
  </si>
  <si>
    <t>freq_origin, freq_dest</t>
  </si>
  <si>
    <t>Bỏ</t>
  </si>
  <si>
    <t>Có hay không đều hòa; tọa độ sân bay đã cho model biết sân bay nào</t>
  </si>
  <si>
    <t>rot1-predeparture_nofreq</t>
  </si>
  <si>
    <t>1%, chia ngẫu nhiên, máy nhà</t>
  </si>
  <si>
    <t>L2</t>
  </si>
  <si>
    <t>Thêm vòng quay tàu bay theo lịch</t>
  </si>
  <si>
    <t>leg_of_day, has_prev, turn_slack</t>
  </si>
  <si>
    <t>Giữ</t>
  </si>
  <si>
    <t>Biết trước từ lịch bay; model cây dùng (turn_slack 4 đến 7% importance)</t>
  </si>
  <si>
    <t>rot1-predeparture_sched</t>
  </si>
  <si>
    <t>L3</t>
  </si>
  <si>
    <t>Thêm độ trễ lúc đi của chuyến trước</t>
  </si>
  <si>
    <t>prev_dep_delay</t>
  </si>
  <si>
    <t>Bỏ (thay ở L5)</t>
  </si>
  <si>
    <t>Riêng nó có ích (R² +0.20), nhưng r 0.93 với prev_arr_delay: khi đã có prev_arr_delay thì thay bằng prev_air_gain hòa (L5), nên bỏ</t>
  </si>
  <si>
    <t>rot1-predeparture_inbound_dep</t>
  </si>
  <si>
    <t>L4</t>
  </si>
  <si>
    <t>Thêm độ trễ lúc đến của chuyến trước</t>
  </si>
  <si>
    <t>prev_arr_delay, inbound_overrun</t>
  </si>
  <si>
    <t>Tín hiệu mạnh nhất; inbound_overrun hạng nhất ở cả 4 model cây</t>
  </si>
  <si>
    <t>rot1-predeparture_inbound</t>
  </si>
  <si>
    <t>L5</t>
  </si>
  <si>
    <t>Đổi prev_dep_delay thành prev_air_gain</t>
  </si>
  <si>
    <t>prev_dep_delay -&gt; prev_air_gain</t>
  </si>
  <si>
    <t>Bỏ prev_dep_delay</t>
  </si>
  <si>
    <t>Hòa: prev_dep_delay không mang thêm gì khi đã có prev_arr_delay</t>
  </si>
  <si>
    <t>rot1-predeparture_inbound_gain</t>
  </si>
  <si>
    <t>L6</t>
  </si>
  <si>
    <t>Bỏ has_prev và prev_dep_delay</t>
  </si>
  <si>
    <t>has_prev, prev_dep_delay</t>
  </si>
  <si>
    <t>Giữ has_prev</t>
  </si>
  <si>
    <t>Bỏ cả hai thì tụt; has_prev báo cho model các cột prev_* của chuyến đầu ngày là giá trị điền</t>
  </si>
  <si>
    <t>rot1-predeparture_inbound_lean</t>
  </si>
  <si>
    <t>L7</t>
  </si>
  <si>
    <t>Thêm độ đông theo lịch (không có vòng quay)</t>
  </si>
  <si>
    <t>sched_origin_hour, sched_dest_hour, origin_day_ratio</t>
  </si>
  <si>
    <t>r &lt;= 0.04 với target; lệch nhỏ và không cùng chiều giữa các model</t>
  </si>
  <si>
    <t>rot1-predeparture_congestion</t>
  </si>
  <si>
    <t>L8</t>
  </si>
  <si>
    <t>Thêm độ đông theo lịch (có vòng quay theo lịch)</t>
  </si>
  <si>
    <t>Hòa</t>
  </si>
  <si>
    <t>rot1-predeparture_sched_congestion</t>
  </si>
  <si>
    <t>L9</t>
  </si>
  <si>
    <t>Thêm độ đông theo lịch (có đủ vòng quay)</t>
  </si>
  <si>
    <t>rot1-predeparture_inbound_congestion</t>
  </si>
  <si>
    <t>L10</t>
  </si>
  <si>
    <t>Bỏ log_distance</t>
  </si>
  <si>
    <t>log_distance</t>
  </si>
  <si>
    <t>Tụt rất nhẹ (R² trung bình −0.004), sát mức nhiễu; bỏ cho gọn</t>
  </si>
  <si>
    <t>rot1-predeparture_final_nodist</t>
  </si>
  <si>
    <t>L11</t>
  </si>
  <si>
    <t>Bỏ prev_air_gain</t>
  </si>
  <si>
    <t>prev_air_gain</t>
  </si>
  <si>
    <t>Bỏ đi không đổi gì, không cùng chiều</t>
  </si>
  <si>
    <t>rot1-predeparture_final_nogain</t>
  </si>
  <si>
    <t>L12</t>
  </si>
  <si>
    <t>Chuyến đầu ngày: điền 0 thay median cho prev_*</t>
  </si>
  <si>
    <t>prev_arr_delay, inbound_overrun, prev_air_gain</t>
  </si>
  <si>
    <t>Giữ median</t>
  </si>
  <si>
    <t>Hòa; giữ cách cũ</t>
  </si>
  <si>
    <t>rot1-predeparture_final_zero</t>
  </si>
  <si>
    <t>L13</t>
  </si>
  <si>
    <t>Bỏ nhóm cột trùng theo EDA</t>
  </si>
  <si>
    <t>log_sched_time, log_gc_distance, SCHEDULE_SPEED_MPH, ROUTE_DETOUR, SCHED_DEP_MIN, IS_WEEKEND, DAY, freq_route</t>
  </si>
  <si>
    <t>Trùng nhau (r 0.94 đến 1.00) hoặc r &lt; 0.01 với target. Bỏ cả nhóm thì tụt nhẹ (R² −0.008, AUC −0.006), đổi lại bỏ được UDF Haversine chậm; chưa test bỏ riêng từng cột</t>
  </si>
  <si>
    <t>rot1-predeparture_all</t>
  </si>
  <si>
    <t>K1</t>
  </si>
  <si>
    <t>Giờ và tháng sang sin/cos</t>
  </si>
  <si>
    <t>DEP_HOUR, MONTH -&gt; hour_sin/cos, month_sin/cos</t>
  </si>
  <si>
    <t>Xem K7</t>
  </si>
  <si>
    <t>Hòa với one-hot; tách riêng giờ và tháng ở K7</t>
  </si>
  <si>
    <t>kaggle-cyclic-20260927</t>
  </si>
  <si>
    <t>Kaggle 1%, chia ngẫu nhiên</t>
  </si>
  <si>
    <t>K2</t>
  </si>
  <si>
    <t>Thêm lại ROUTE_DETOUR</t>
  </si>
  <si>
    <t>ROUTE_DETOUR</t>
  </si>
  <si>
    <t>Lasso đưa hệ số về 0, cây không cải thiện</t>
  </si>
  <si>
    <t>kaggle-coords-detour-20260928</t>
  </si>
  <si>
    <t>K3</t>
  </si>
  <si>
    <t>Bỏ tọa độ sân bay</t>
  </si>
  <si>
    <t>ORIGIN_LAT, ORIGIN_LON, DEST_LAT, DEST_LON</t>
  </si>
  <si>
    <t>Cây mất khả năng nhận ra sân bay, RF classifier tụt rõ</t>
  </si>
  <si>
    <t>K4</t>
  </si>
  <si>
    <t>Bỏ thứ trong tuần</t>
  </si>
  <si>
    <t>DAY_OF_WEEK</t>
  </si>
  <si>
    <t>Bỏ (xác nhận ở K9)</t>
  </si>
  <si>
    <t>Không đóng góp đo được; riêng GBT regressor tụt 0.018 do CV đổi maxBins, không phải do cột</t>
  </si>
  <si>
    <t>kaggle-dow-month-20260928</t>
  </si>
  <si>
    <t>K5</t>
  </si>
  <si>
    <t>Bỏ tháng</t>
  </si>
  <si>
    <t>MONTH</t>
  </si>
  <si>
    <t>Cả 7 model đều tụt nhẹ, cùng chiều</t>
  </si>
  <si>
    <t>K6</t>
  </si>
  <si>
    <t>Thứ trong tuần sang sin/cos</t>
  </si>
  <si>
    <t>DAY_OF_WEEK -&gt; dow_sin, dow_cos</t>
  </si>
  <si>
    <t>Bỏ cả hai</t>
  </si>
  <si>
    <t>Mã hóa kiểu nào cũng hòa</t>
  </si>
  <si>
    <t>kaggle-dow-cyclic-20260928</t>
  </si>
  <si>
    <t>K7a</t>
  </si>
  <si>
    <t>Chỉ giờ sang sin/cos</t>
  </si>
  <si>
    <t>DEP_HOUR -&gt; hour_sin, hour_cos</t>
  </si>
  <si>
    <t>Dùng sin/cos</t>
  </si>
  <si>
    <t>Hòa ở cây, LinearSVC tốt hơn; 2 cột thay 24</t>
  </si>
  <si>
    <t>kaggle-hour-month-cyclic-20260928</t>
  </si>
  <si>
    <t>K7b</t>
  </si>
  <si>
    <t>Chỉ tháng sang sin/cos</t>
  </si>
  <si>
    <t>MONTH -&gt; 2 cặp sin/cos</t>
  </si>
  <si>
    <t>Giữ one-hot</t>
  </si>
  <si>
    <t>Hòa nhưng nghiêng về tệ hơn (GBT regressor −0.018 là do CV đổi maxBins)</t>
  </si>
  <si>
    <t>K8a</t>
  </si>
  <si>
    <t>Bỏ giờ khởi hành one-hot</t>
  </si>
  <si>
    <t>DEP_HOUR</t>
  </si>
  <si>
    <t>Giữ (dạng sin/cos)</t>
  </si>
  <si>
    <t>Model tuyến tính tụt; cây không cần</t>
  </si>
  <si>
    <t>kaggle-sched-time-20260928</t>
  </si>
  <si>
    <t>K8b</t>
  </si>
  <si>
    <t>Bỏ giờ hạ cánh</t>
  </si>
  <si>
    <t>SCHED_ARR_MIN</t>
  </si>
  <si>
    <t>Cây tụt; model tuyến tính không đổi (GBT regressor −0.016 một phần do CV đổi maxBins)</t>
  </si>
  <si>
    <t>K8c</t>
  </si>
  <si>
    <t>Bỏ cả hai cột giờ</t>
  </si>
  <si>
    <t>DEP_HOUR, SCHED_ARR_MIN</t>
  </si>
  <si>
    <t>Mọi model tụt, mạnh nhất trong các test</t>
  </si>
  <si>
    <t>K8d</t>
  </si>
  <si>
    <t>Thêm phút khởi hành</t>
  </si>
  <si>
    <t>SCHED_DEP_MIN</t>
  </si>
  <si>
    <t>Không được gì; r 0.998 với DEP_HOUR</t>
  </si>
  <si>
    <t>K9a</t>
  </si>
  <si>
    <t>Bỏ thứ trong tuần, seed 42</t>
  </si>
  <si>
    <t>Hòa, lặp lại 3 seed</t>
  </si>
  <si>
    <t>kaggle-ladder-s42-20260929</t>
  </si>
  <si>
    <t>Kaggle 1%, chia theo ngày</t>
  </si>
  <si>
    <t>K9b</t>
  </si>
  <si>
    <t>Bỏ thứ trong tuần, seed 1</t>
  </si>
  <si>
    <t>kaggle-noise-s1-20260929</t>
  </si>
  <si>
    <t>K9c</t>
  </si>
  <si>
    <t>Bỏ thứ trong tuần, seed 2</t>
  </si>
  <si>
    <t>kaggle-noise-s2-20260929</t>
  </si>
  <si>
    <t>K10a</t>
  </si>
  <si>
    <t>Giờ sang sin/cos, seed 42</t>
  </si>
  <si>
    <t>Cây hòa, LinearSVC tốt hơn ở cả 3 seed</t>
  </si>
  <si>
    <t>K10b</t>
  </si>
  <si>
    <t>Giờ sang sin/cos, seed 1</t>
  </si>
  <si>
    <t>K10c</t>
  </si>
  <si>
    <t>Giờ sang sin/cos, seed 2</t>
  </si>
  <si>
    <t>K11</t>
  </si>
  <si>
    <t>Bỏ 2 cột biết khi chuyến trước đã hạ cánh (chỉ còn lịch bay)</t>
  </si>
  <si>
    <t>Phần lớn điểm đến từ đây: AUC 0.82 xuống 0.68</t>
  </si>
  <si>
    <t>K12a</t>
  </si>
  <si>
    <t>PCA trên toàn vector (k 51)</t>
  </si>
  <si>
    <t>arm PCA</t>
  </si>
  <si>
    <t>Không dùng</t>
  </si>
  <si>
    <t>Thua PCA chỉ trên cột số ở 6/7 model</t>
  </si>
  <si>
    <t>kaggle-pca-20260927</t>
  </si>
  <si>
    <t>K12b</t>
  </si>
  <si>
    <t>PCA chỉ trên cột số (k 8)</t>
  </si>
  <si>
    <t>Dùng cho arm PCA</t>
  </si>
  <si>
    <t>Gần không PCA cho model tuyến tính; cây vẫn tốt nhất khi không PCA</t>
  </si>
  <si>
    <t>K13a</t>
  </si>
  <si>
    <t>C (và A)</t>
  </si>
  <si>
    <t>Chặn trần độ trễ chuyến trước ở 60 phút</t>
  </si>
  <si>
    <t>prev_arr_delay, inbound_overrun (trần 60)</t>
  </si>
  <si>
    <t>Dùng cho bài C</t>
  </si>
  <si>
    <t>Từ 30 phút tỷ lệ trễ nặng bão hòa 99.7%; LinearSVC AUC-PR +0.029, cây hòa. GBT regressor +0.018 là do CV đổi maxBins</t>
  </si>
  <si>
    <t>kaggle-check-cap60-20260930</t>
  </si>
  <si>
    <t>K13b</t>
  </si>
  <si>
    <t>A</t>
  </si>
  <si>
    <t>Chặn trần độ trễ chuyến trước ở 300 phút</t>
  </si>
  <si>
    <t>prev_arr_delay, inbound_overrun (trần 300)</t>
  </si>
  <si>
    <t>Dùng cho bài A</t>
  </si>
  <si>
    <t>Trễ tăng khoảng 1:1 tới 5 tiếng rồi gãy; LinearRegression R² +0.0045, RF +0.0028, GBT y hệt, classifier y hệt</t>
  </si>
  <si>
    <t>kaggle-check-cap300-20260930</t>
  </si>
  <si>
    <t>G1</t>
  </si>
  <si>
    <t>B</t>
  </si>
  <si>
    <t>Bỏ tốc độ theo lịch</t>
  </si>
  <si>
    <t>sched_mph</t>
  </si>
  <si>
    <t>Mọi model tụt, model tuyến tính tụt mạnh</t>
  </si>
  <si>
    <t>kaggle-check-gain-20260929</t>
  </si>
  <si>
    <t>G2</t>
  </si>
  <si>
    <t>Thêm độ đông ở sân bay đích</t>
  </si>
  <si>
    <t>sched_dest_hour</t>
  </si>
  <si>
    <t>Model tuyến tính tăng rõ, cây hòa</t>
  </si>
  <si>
    <t>G3</t>
  </si>
  <si>
    <t>Thay log_distance, sched_mph bằng dạng thô</t>
  </si>
  <si>
    <t>DISTANCE, SCHEDULED_TIME thay log_distance, sched_mph</t>
  </si>
  <si>
    <t>kaggle-check-gain2-20260929</t>
  </si>
  <si>
    <t>G4</t>
  </si>
  <si>
    <t>Thêm DISTANCE, SCHEDULED_TIME</t>
  </si>
  <si>
    <t>DISTANCE, SCHEDULED_TIME</t>
  </si>
  <si>
    <t>Mọi model tăng; target phụ thuộc vào hiệu giữa chúng (độ dư lịch)</t>
  </si>
  <si>
    <t>G5</t>
  </si>
  <si>
    <t>Bỏ DISTANCE</t>
  </si>
  <si>
    <t>DISTANCE</t>
  </si>
  <si>
    <t>GBT y hệt (log đơn điệu); model tuyến tính tụt vì thời gian bay tuyến tính theo quãng đường</t>
  </si>
  <si>
    <t>kaggle-check-gain3-20260929</t>
  </si>
  <si>
    <t>G6</t>
  </si>
  <si>
    <t>Bỏ log_distance, sched_mph</t>
  </si>
  <si>
    <t>log_distance, sched_mph</t>
  </si>
  <si>
    <t>Cây tụt</t>
  </si>
  <si>
    <t>G7</t>
  </si>
  <si>
    <t>Chặn trần DEPARTURE_DELAY ở 120 phút</t>
  </si>
  <si>
    <t>DEPARTURE_DELAY</t>
  </si>
  <si>
    <t>Không cần</t>
  </si>
  <si>
    <t>Hòa: với target gain cột này gần như không mang thông tin (r 0.009)</t>
  </si>
  <si>
    <t>kaggle-check-cap-20260929</t>
  </si>
  <si>
    <t>G8</t>
  </si>
  <si>
    <t>Bỏ DEPARTURE_DELAY</t>
  </si>
  <si>
    <t>Hòa; gain phẳng theo nó (trung vị −6 phút ở mọi mức trễ). Vẫn dùng qua phép cộng arrival = DEPARTURE_DELAY + gain</t>
  </si>
  <si>
    <t>Nguồn</t>
  </si>
  <si>
    <t>Bộ tham chiếu</t>
  </si>
  <si>
    <t>Bộ thử</t>
  </si>
  <si>
    <t>Model</t>
  </si>
  <si>
    <t>Metric</t>
  </si>
  <si>
    <t>Tham chiếu</t>
  </si>
  <si>
    <t>Thử</t>
  </si>
  <si>
    <t>Δ (thử − tham chiếu)</t>
  </si>
  <si>
    <t>rot1-predeparture</t>
  </si>
  <si>
    <t>linear_regression</t>
  </si>
  <si>
    <t>r2</t>
  </si>
  <si>
    <t>random_forest_regressor</t>
  </si>
  <si>
    <t>gbt_regressor</t>
  </si>
  <si>
    <t>linear_svc</t>
  </si>
  <si>
    <t>areaUnderROC</t>
  </si>
  <si>
    <t>areaUnderPR</t>
  </si>
  <si>
    <t>random_forest_classifier</t>
  </si>
  <si>
    <t>gbt_classifier</t>
  </si>
  <si>
    <t>rot1-predeparture_final</t>
  </si>
  <si>
    <t>kg-v2</t>
  </si>
  <si>
    <t>kg-v2_cyclic</t>
  </si>
  <si>
    <t>kg-v2_detour</t>
  </si>
  <si>
    <t>kg-v2_nocoords</t>
  </si>
  <si>
    <t>kg-v2_nodow</t>
  </si>
  <si>
    <t>kg-v2_nomonth</t>
  </si>
  <si>
    <t>kg-v2_dowcyc</t>
  </si>
  <si>
    <t>kg-v2_hourcyc</t>
  </si>
  <si>
    <t>kg-v2_monthcyc</t>
  </si>
  <si>
    <t>kg-v2_nodephour</t>
  </si>
  <si>
    <t>kg-v2_noarr</t>
  </si>
  <si>
    <t>kg-v2_notime</t>
  </si>
  <si>
    <t>kg-v2_depmin</t>
  </si>
  <si>
    <t>kg-v2_s1</t>
  </si>
  <si>
    <t>kg-v2_nodow_s1</t>
  </si>
  <si>
    <t>kg-v2_s2</t>
  </si>
  <si>
    <t>kg-v2_nodow_s2</t>
  </si>
  <si>
    <t>kg-v2_hourcyc_s1</t>
  </si>
  <si>
    <t>kg-v2_hourcyc_s2</t>
  </si>
  <si>
    <t>kg-v2_sched</t>
  </si>
  <si>
    <t>kg-v2_pca_all</t>
  </si>
  <si>
    <t>kg-v2_pca_numeric</t>
  </si>
  <si>
    <t>kg-v3</t>
  </si>
  <si>
    <t>kg-v3_cap60</t>
  </si>
  <si>
    <t>kg-v3_cap300</t>
  </si>
  <si>
    <t>kg-gain</t>
  </si>
  <si>
    <t>kg-gain_nomph</t>
  </si>
  <si>
    <t>kg-gain_cong</t>
  </si>
  <si>
    <t>kg-gain_phys</t>
  </si>
  <si>
    <t>kg-gain_plus</t>
  </si>
  <si>
    <t>kg-gain_nodist</t>
  </si>
  <si>
    <t>kg-gain_nolog</t>
  </si>
  <si>
    <t>kg-gain_cap120</t>
  </si>
  <si>
    <t>kg-gain_nodep</t>
  </si>
  <si>
    <t>Cột</t>
  </si>
  <si>
    <t>Căn cứ</t>
  </si>
  <si>
    <t>DEPARTURE_DELAY, TAXI_OUT, WHEELS_OFF</t>
  </si>
  <si>
    <t>Cấm</t>
  </si>
  <si>
    <t>Chỉ biết sau khi máy bay rời cổng; code tự chặn (PRE_DEPARTURE_FORBIDDEN)</t>
  </si>
  <si>
    <t>te_origin, te_dest, te_route</t>
  </si>
  <si>
    <t>A, B, C</t>
  </si>
  <si>
    <t>Target encoding, tính từ nhãn</t>
  </si>
  <si>
    <t>ARRIVAL_TIME, ELAPSED_TIME, AIR_TIME, WHEELS_ON, TAXI_IN, 5 cột *_DELAY</t>
  </si>
  <si>
    <t>Chỉ biết sau khi hạ cánh; xóa từ bước chuẩn bị dữ liệu (flight_schema.LEAKY_COLUMNS)</t>
  </si>
  <si>
    <t>SCHEDULED_TIME, log_sched_time</t>
  </si>
  <si>
    <t>r 0.97 đến 0.98 với quãng đường; không có ablation riêng</t>
  </si>
  <si>
    <t>GC_DISTANCE_MI, log_gc_distance</t>
  </si>
  <si>
    <t>r 1.00 với log_distance; cần UDF Python chậm</t>
  </si>
  <si>
    <t>IS_WEEKEND</t>
  </si>
  <si>
    <t>Suy ra từ DAY_OF_WEEK</t>
  </si>
  <si>
    <t>DAY (ngày trong tháng)</t>
  </si>
  <si>
    <t>r &lt; 0.01, không có quy luật</t>
  </si>
  <si>
    <t>AIRLINE</t>
  </si>
  <si>
    <t>Tỷ lệ trễ nặng từ 4.1% (Hawaiian) đến 19.3% (Spirit); chưa có ablation bỏ riêng</t>
  </si>
  <si>
    <t>Chú thích</t>
  </si>
  <si>
    <t>Δ = điểm của bộ thử trừ điểm của bộ tham chiếu, tính cho từng model trên cùng mẫu, cùng cách chia.</t>
  </si>
  <si>
    <t>R², AUC, AUC-PR: Δ dương là bộ thử tốt hơn, âm là tệ hơn.</t>
  </si>
  <si>
    <t>Mức nhiễu: chênh lệch giữa hai bộ trên cùng seed dao động khoảng ±0.003 (đo bằng 3 seed, run H trong LOG.md). Chênh dưới khoảng 0.005 và không cùng chiều qua các model thì coi là hòa, và chọn bộ đơn giản hơn.</t>
  </si>
  <si>
    <t>Mẫu: 1% dữ liệu (khoảng 57 nghìn chuyến). Kết quả Kaggle chia ngẫu nhiên trước 28/09, chia theo ngày từ 29/09; chỉ so sánh trong cùng một dòng, không so mức điểm giữa các dòng.</t>
  </si>
  <si>
    <t>Model: regressor = LinearRegression, RandomForest, GBT; classifier = LinearSVC, RandomForest, GBT. Nhánh không PCA, trừ K12 (so nhánh PCA với nhánh không PCA).</t>
  </si>
  <si>
    <t>Bài: A = hồi quy trước khi bay, B = hồi quy sau cất cánh (label_gain), C = phân loại trễ trên 30 phút.</t>
  </si>
  <si>
    <t>Chữ xanh trong sheet Chi tiết là số lấy từ MLflow; cột Δ và các cột trung bình ở sheet Tổng hợp là công thức.</t>
  </si>
  <si>
    <t>Chi tiết từng lượt test: experiments/LOG.md. Bảng tổng: experiments/FEATURE_DECISIONS.md.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</si>
</sst>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00;\-0.0000;0.0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00FF"/>
      <name val="Arial"/>
    </font>
    <font>
      <sz val="11"/>
      <name val="Arial"/>
    </font>
    <font>
      <b/>
      <sz val="11"/>
      <color rgb="FFFFFFFF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6B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7" customWidth="1"/>
    <col min="3" max="3" width="38" customWidth="1"/>
    <col min="4" max="4" width="34" customWidth="1"/>
    <col min="5" max="5" width="16" customWidth="1"/>
    <col min="6" max="8" width="14" customWidth="1"/>
    <col min="9" max="10" width="11" customWidth="1"/>
    <col min="11" max="11" width="52" customWidth="1"/>
    <col min="12" max="12" width="32" customWidth="1"/>
    <col min="13" max="13" width="26" customWidth="1"/>
  </cols>
  <sheetData>
    <row r="1" spans="1:13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f>IFERROR(AVERAGEIFS('Chi tiết'!$I$2:$I$349,'Chi tiết'!$A$2:$A$349,A2,'Chi tiết'!$F$2:$F$349,"r2"),"")</f>
        <v>5.6163333333333334E-3</v>
      </c>
      <c r="G2" s="3">
        <f>IFERROR(AVERAGEIFS('Chi tiết'!$I$2:$I$349,'Chi tiết'!$A$2:$A$349,A2,'Chi tiết'!$F$2:$F$349,"areaUnderROC"),"")</f>
        <v>-6.763333333333158E-4</v>
      </c>
      <c r="H2" s="3">
        <f>IFERROR(AVERAGEIFS('Chi tiết'!$I$2:$I$349,'Chi tiết'!$A$2:$A$349,A2,'Chi tiết'!$F$2:$F$349,"areaUnderPR"),"")</f>
        <v>-7.8933333333333633E-4</v>
      </c>
      <c r="I2" s="3">
        <f>_xlfn.MINIFS('Chi tiết'!$I$2:$I$349,'Chi tiết'!$A$2:$A$349,A2)</f>
        <v>-3.6370000000000013E-3</v>
      </c>
      <c r="J2" s="3">
        <f>_xlfn.MAXIFS('Chi tiết'!$I$2:$I$349,'Chi tiết'!$A$2:$A$349,A2)</f>
        <v>1.6795999999999998E-2</v>
      </c>
      <c r="K2" s="2" t="s">
        <v>18</v>
      </c>
      <c r="L2" s="2" t="s">
        <v>19</v>
      </c>
      <c r="M2" s="2" t="s">
        <v>20</v>
      </c>
    </row>
    <row r="3" spans="1:13" ht="28" x14ac:dyDescent="0.35">
      <c r="A3" s="2" t="s">
        <v>21</v>
      </c>
      <c r="B3" s="2" t="s">
        <v>14</v>
      </c>
      <c r="C3" s="2" t="s">
        <v>22</v>
      </c>
      <c r="D3" s="2" t="s">
        <v>23</v>
      </c>
      <c r="E3" s="2" t="s">
        <v>24</v>
      </c>
      <c r="F3" s="3">
        <f>IFERROR(AVERAGEIFS('Chi tiết'!$I$2:$I$349,'Chi tiết'!$A$2:$A$349,A3,'Chi tiết'!$F$2:$F$349,"r2"),"")</f>
        <v>3.1766333333333334E-2</v>
      </c>
      <c r="G3" s="3">
        <f>IFERROR(AVERAGEIFS('Chi tiết'!$I$2:$I$349,'Chi tiết'!$A$2:$A$349,A3,'Chi tiết'!$F$2:$F$349,"areaUnderROC"),"")</f>
        <v>2.3845333333333312E-2</v>
      </c>
      <c r="H3" s="3">
        <f>IFERROR(AVERAGEIFS('Chi tiết'!$I$2:$I$349,'Chi tiết'!$A$2:$A$349,A3,'Chi tiết'!$F$2:$F$349,"areaUnderPR"),"")</f>
        <v>5.668433333333333E-2</v>
      </c>
      <c r="I3" s="3">
        <f>_xlfn.MINIFS('Chi tiết'!$I$2:$I$349,'Chi tiết'!$A$2:$A$349,A3)</f>
        <v>7.1020000000000007E-3</v>
      </c>
      <c r="J3" s="3">
        <f>_xlfn.MAXIFS('Chi tiết'!$I$2:$I$349,'Chi tiết'!$A$2:$A$349,A3)</f>
        <v>8.2457999999999976E-2</v>
      </c>
      <c r="K3" s="2" t="s">
        <v>25</v>
      </c>
      <c r="L3" s="2" t="s">
        <v>26</v>
      </c>
      <c r="M3" s="2" t="s">
        <v>20</v>
      </c>
    </row>
    <row r="4" spans="1:13" ht="42" x14ac:dyDescent="0.35">
      <c r="A4" s="2" t="s">
        <v>27</v>
      </c>
      <c r="B4" s="2" t="s">
        <v>14</v>
      </c>
      <c r="C4" s="2" t="s">
        <v>28</v>
      </c>
      <c r="D4" s="2" t="s">
        <v>29</v>
      </c>
      <c r="E4" s="2" t="s">
        <v>30</v>
      </c>
      <c r="F4" s="3">
        <f>IFERROR(AVERAGEIFS('Chi tiết'!$I$2:$I$349,'Chi tiết'!$A$2:$A$349,A4,'Chi tiết'!$F$2:$F$349,"r2"),"")</f>
        <v>0.19570299999999996</v>
      </c>
      <c r="G4" s="3">
        <f>IFERROR(AVERAGEIFS('Chi tiết'!$I$2:$I$349,'Chi tiết'!$A$2:$A$349,A4,'Chi tiết'!$F$2:$F$349,"areaUnderROC"),"")</f>
        <v>0.12931999999999999</v>
      </c>
      <c r="H4" s="3">
        <f>IFERROR(AVERAGEIFS('Chi tiết'!$I$2:$I$349,'Chi tiết'!$A$2:$A$349,A4,'Chi tiết'!$F$2:$F$349,"areaUnderPR"),"")</f>
        <v>0.28043266666666672</v>
      </c>
      <c r="I4" s="3">
        <f>_xlfn.MINIFS('Chi tiết'!$I$2:$I$349,'Chi tiết'!$A$2:$A$349,A4)</f>
        <v>0.12757699999999994</v>
      </c>
      <c r="J4" s="3">
        <f>_xlfn.MAXIFS('Chi tiết'!$I$2:$I$349,'Chi tiết'!$A$2:$A$349,A4)</f>
        <v>0.302089</v>
      </c>
      <c r="K4" s="2" t="s">
        <v>31</v>
      </c>
      <c r="L4" s="2" t="s">
        <v>32</v>
      </c>
      <c r="M4" s="2" t="s">
        <v>20</v>
      </c>
    </row>
    <row r="5" spans="1:13" ht="28" x14ac:dyDescent="0.35">
      <c r="A5" s="2" t="s">
        <v>33</v>
      </c>
      <c r="B5" s="2" t="s">
        <v>14</v>
      </c>
      <c r="C5" s="2" t="s">
        <v>34</v>
      </c>
      <c r="D5" s="2" t="s">
        <v>35</v>
      </c>
      <c r="E5" s="2" t="s">
        <v>24</v>
      </c>
      <c r="F5" s="3">
        <f>IFERROR(AVERAGEIFS('Chi tiết'!$I$2:$I$349,'Chi tiết'!$A$2:$A$349,A5,'Chi tiết'!$F$2:$F$349,"r2"),"")</f>
        <v>5.6177000000000012E-2</v>
      </c>
      <c r="G5" s="3">
        <f>IFERROR(AVERAGEIFS('Chi tiết'!$I$2:$I$349,'Chi tiết'!$A$2:$A$349,A5,'Chi tiết'!$F$2:$F$349,"areaUnderROC"),"")</f>
        <v>2.7357333333333345E-2</v>
      </c>
      <c r="H5" s="3">
        <f>IFERROR(AVERAGEIFS('Chi tiết'!$I$2:$I$349,'Chi tiết'!$A$2:$A$349,A5,'Chi tiết'!$F$2:$F$349,"areaUnderPR"),"")</f>
        <v>7.1523666666666666E-2</v>
      </c>
      <c r="I5" s="3">
        <f>_xlfn.MINIFS('Chi tiết'!$I$2:$I$349,'Chi tiết'!$A$2:$A$349,A5)</f>
        <v>1.8716999999999984E-2</v>
      </c>
      <c r="J5" s="3">
        <f>_xlfn.MAXIFS('Chi tiết'!$I$2:$I$349,'Chi tiết'!$A$2:$A$349,A5)</f>
        <v>9.4052000000000024E-2</v>
      </c>
      <c r="K5" s="2" t="s">
        <v>36</v>
      </c>
      <c r="L5" s="2" t="s">
        <v>37</v>
      </c>
      <c r="M5" s="2" t="s">
        <v>20</v>
      </c>
    </row>
    <row r="6" spans="1:13" ht="28" x14ac:dyDescent="0.35">
      <c r="A6" s="2" t="s">
        <v>38</v>
      </c>
      <c r="B6" s="2" t="s">
        <v>14</v>
      </c>
      <c r="C6" s="2" t="s">
        <v>39</v>
      </c>
      <c r="D6" s="2" t="s">
        <v>40</v>
      </c>
      <c r="E6" s="2" t="s">
        <v>41</v>
      </c>
      <c r="F6" s="3">
        <f>IFERROR(AVERAGEIFS('Chi tiết'!$I$2:$I$349,'Chi tiết'!$A$2:$A$349,A6,'Chi tiết'!$F$2:$F$349,"r2"),"")</f>
        <v>1.9299999999999873E-4</v>
      </c>
      <c r="G6" s="3">
        <f>IFERROR(AVERAGEIFS('Chi tiết'!$I$2:$I$349,'Chi tiết'!$A$2:$A$349,A6,'Chi tiết'!$F$2:$F$349,"areaUnderROC"),"")</f>
        <v>-8.7399999999996736E-4</v>
      </c>
      <c r="H6" s="3">
        <f>IFERROR(AVERAGEIFS('Chi tiết'!$I$2:$I$349,'Chi tiết'!$A$2:$A$349,A6,'Chi tiết'!$F$2:$F$349,"areaUnderPR"),"")</f>
        <v>-2.4133333333331564E-4</v>
      </c>
      <c r="I6" s="3">
        <f>_xlfn.MINIFS('Chi tiết'!$I$2:$I$349,'Chi tiết'!$A$2:$A$349,A6)</f>
        <v>-3.1990000000000629E-3</v>
      </c>
      <c r="J6" s="3">
        <f>_xlfn.MAXIFS('Chi tiết'!$I$2:$I$349,'Chi tiết'!$A$2:$A$349,A6)</f>
        <v>5.4150000000000587E-3</v>
      </c>
      <c r="K6" s="2" t="s">
        <v>42</v>
      </c>
      <c r="L6" s="2" t="s">
        <v>43</v>
      </c>
      <c r="M6" s="2" t="s">
        <v>20</v>
      </c>
    </row>
    <row r="7" spans="1:13" ht="28" x14ac:dyDescent="0.35">
      <c r="A7" s="2" t="s">
        <v>44</v>
      </c>
      <c r="B7" s="2" t="s">
        <v>14</v>
      </c>
      <c r="C7" s="2" t="s">
        <v>45</v>
      </c>
      <c r="D7" s="2" t="s">
        <v>46</v>
      </c>
      <c r="E7" s="2" t="s">
        <v>47</v>
      </c>
      <c r="F7" s="3">
        <f>IFERROR(AVERAGEIFS('Chi tiết'!$I$2:$I$349,'Chi tiết'!$A$2:$A$349,A7,'Chi tiết'!$F$2:$F$349,"r2"),"")</f>
        <v>-1.3487000000000008E-2</v>
      </c>
      <c r="G7" s="3">
        <f>IFERROR(AVERAGEIFS('Chi tiết'!$I$2:$I$349,'Chi tiết'!$A$2:$A$349,A7,'Chi tiết'!$F$2:$F$349,"areaUnderROC"),"")</f>
        <v>-7.46566666666663E-3</v>
      </c>
      <c r="H7" s="3">
        <f>IFERROR(AVERAGEIFS('Chi tiết'!$I$2:$I$349,'Chi tiết'!$A$2:$A$349,A7,'Chi tiết'!$F$2:$F$349,"areaUnderPR"),"")</f>
        <v>-4.0279999999999943E-3</v>
      </c>
      <c r="I7" s="3">
        <f>_xlfn.MINIFS('Chi tiết'!$I$2:$I$349,'Chi tiết'!$A$2:$A$349,A7)</f>
        <v>-1.7207000000000028E-2</v>
      </c>
      <c r="J7" s="3">
        <f>_xlfn.MAXIFS('Chi tiết'!$I$2:$I$349,'Chi tiết'!$A$2:$A$349,A7)</f>
        <v>6.3480000000000203E-3</v>
      </c>
      <c r="K7" s="2" t="s">
        <v>48</v>
      </c>
      <c r="L7" s="2" t="s">
        <v>49</v>
      </c>
      <c r="M7" s="2" t="s">
        <v>20</v>
      </c>
    </row>
    <row r="8" spans="1:13" ht="28" x14ac:dyDescent="0.35">
      <c r="A8" s="2" t="s">
        <v>50</v>
      </c>
      <c r="B8" s="2" t="s">
        <v>14</v>
      </c>
      <c r="C8" s="2" t="s">
        <v>51</v>
      </c>
      <c r="D8" s="2" t="s">
        <v>52</v>
      </c>
      <c r="E8" s="2" t="s">
        <v>17</v>
      </c>
      <c r="F8" s="3">
        <f>IFERROR(AVERAGEIFS('Chi tiết'!$I$2:$I$349,'Chi tiết'!$A$2:$A$349,A8,'Chi tiết'!$F$2:$F$349,"r2"),"")</f>
        <v>4.2506666666666682E-3</v>
      </c>
      <c r="G8" s="3">
        <f>IFERROR(AVERAGEIFS('Chi tiết'!$I$2:$I$349,'Chi tiết'!$A$2:$A$349,A8,'Chi tiết'!$F$2:$F$349,"areaUnderROC"),"")</f>
        <v>1.3906666666666883E-3</v>
      </c>
      <c r="H8" s="3">
        <f>IFERROR(AVERAGEIFS('Chi tiết'!$I$2:$I$349,'Chi tiết'!$A$2:$A$349,A8,'Chi tiết'!$F$2:$F$349,"areaUnderPR"),"")</f>
        <v>-1.4460000000000028E-3</v>
      </c>
      <c r="I8" s="3">
        <f>_xlfn.MINIFS('Chi tiết'!$I$2:$I$349,'Chi tiết'!$A$2:$A$349,A8)</f>
        <v>-3.9649999999999963E-3</v>
      </c>
      <c r="J8" s="3">
        <f>_xlfn.MAXIFS('Chi tiết'!$I$2:$I$349,'Chi tiết'!$A$2:$A$349,A8)</f>
        <v>1.1101000000000001E-2</v>
      </c>
      <c r="K8" s="2" t="s">
        <v>53</v>
      </c>
      <c r="L8" s="2" t="s">
        <v>54</v>
      </c>
      <c r="M8" s="2" t="s">
        <v>20</v>
      </c>
    </row>
    <row r="9" spans="1:13" ht="28" x14ac:dyDescent="0.35">
      <c r="A9" s="2" t="s">
        <v>55</v>
      </c>
      <c r="B9" s="2" t="s">
        <v>14</v>
      </c>
      <c r="C9" s="2" t="s">
        <v>56</v>
      </c>
      <c r="D9" s="2" t="s">
        <v>52</v>
      </c>
      <c r="E9" s="2" t="s">
        <v>17</v>
      </c>
      <c r="F9" s="3">
        <f>IFERROR(AVERAGEIFS('Chi tiết'!$I$2:$I$349,'Chi tiết'!$A$2:$A$349,A9,'Chi tiết'!$F$2:$F$349,"r2"),"")</f>
        <v>2.1340000000000018E-3</v>
      </c>
      <c r="G9" s="3">
        <f>IFERROR(AVERAGEIFS('Chi tiết'!$I$2:$I$349,'Chi tiết'!$A$2:$A$349,A9,'Chi tiết'!$F$2:$F$349,"areaUnderROC"),"")</f>
        <v>-1.5609999999999975E-3</v>
      </c>
      <c r="H9" s="3">
        <f>IFERROR(AVERAGEIFS('Chi tiết'!$I$2:$I$349,'Chi tiết'!$A$2:$A$349,A9,'Chi tiết'!$F$2:$F$349,"areaUnderPR"),"")</f>
        <v>-5.3899999999999877E-3</v>
      </c>
      <c r="I9" s="3">
        <f>_xlfn.MINIFS('Chi tiết'!$I$2:$I$349,'Chi tiết'!$A$2:$A$349,A9)</f>
        <v>-1.1854000000000003E-2</v>
      </c>
      <c r="J9" s="3">
        <f>_xlfn.MAXIFS('Chi tiết'!$I$2:$I$349,'Chi tiết'!$A$2:$A$349,A9)</f>
        <v>7.4430000000000052E-3</v>
      </c>
      <c r="K9" s="2" t="s">
        <v>57</v>
      </c>
      <c r="L9" s="2" t="s">
        <v>58</v>
      </c>
      <c r="M9" s="2" t="s">
        <v>20</v>
      </c>
    </row>
    <row r="10" spans="1:13" ht="28" x14ac:dyDescent="0.35">
      <c r="A10" s="2" t="s">
        <v>59</v>
      </c>
      <c r="B10" s="2" t="s">
        <v>14</v>
      </c>
      <c r="C10" s="2" t="s">
        <v>60</v>
      </c>
      <c r="D10" s="2" t="s">
        <v>52</v>
      </c>
      <c r="E10" s="2" t="s">
        <v>17</v>
      </c>
      <c r="F10" s="3">
        <f>IFERROR(AVERAGEIFS('Chi tiết'!$I$2:$I$349,'Chi tiết'!$A$2:$A$349,A10,'Chi tiết'!$F$2:$F$349,"r2"),"")</f>
        <v>-2.1500000000000039E-3</v>
      </c>
      <c r="G10" s="3">
        <f>IFERROR(AVERAGEIFS('Chi tiết'!$I$2:$I$349,'Chi tiết'!$A$2:$A$349,A10,'Chi tiết'!$F$2:$F$349,"areaUnderROC"),"")</f>
        <v>3.6566666666670855E-4</v>
      </c>
      <c r="H10" s="3">
        <f>IFERROR(AVERAGEIFS('Chi tiết'!$I$2:$I$349,'Chi tiết'!$A$2:$A$349,A10,'Chi tiết'!$F$2:$F$349,"areaUnderPR"),"")</f>
        <v>-2.083333333333289E-4</v>
      </c>
      <c r="I10" s="3">
        <f>_xlfn.MINIFS('Chi tiết'!$I$2:$I$349,'Chi tiết'!$A$2:$A$349,A10)</f>
        <v>-8.6689999999999823E-3</v>
      </c>
      <c r="J10" s="3">
        <f>_xlfn.MAXIFS('Chi tiết'!$I$2:$I$349,'Chi tiết'!$A$2:$A$349,A10)</f>
        <v>1.7919999999999603E-3</v>
      </c>
      <c r="K10" s="2" t="s">
        <v>57</v>
      </c>
      <c r="L10" s="2" t="s">
        <v>61</v>
      </c>
      <c r="M10" s="2" t="s">
        <v>20</v>
      </c>
    </row>
    <row r="11" spans="1:13" ht="28" x14ac:dyDescent="0.35">
      <c r="A11" s="2" t="s">
        <v>62</v>
      </c>
      <c r="B11" s="2" t="s">
        <v>14</v>
      </c>
      <c r="C11" s="2" t="s">
        <v>63</v>
      </c>
      <c r="D11" s="2" t="s">
        <v>64</v>
      </c>
      <c r="E11" s="2" t="s">
        <v>17</v>
      </c>
      <c r="F11" s="3">
        <f>IFERROR(AVERAGEIFS('Chi tiết'!$I$2:$I$349,'Chi tiết'!$A$2:$A$349,A11,'Chi tiết'!$F$2:$F$349,"r2"),"")</f>
        <v>-4.1629999999999905E-3</v>
      </c>
      <c r="G11" s="3">
        <f>IFERROR(AVERAGEIFS('Chi tiết'!$I$2:$I$349,'Chi tiết'!$A$2:$A$349,A11,'Chi tiết'!$F$2:$F$349,"areaUnderROC"),"")</f>
        <v>-2.4200000000000146E-4</v>
      </c>
      <c r="H11" s="3">
        <f>IFERROR(AVERAGEIFS('Chi tiết'!$I$2:$I$349,'Chi tiết'!$A$2:$A$349,A11,'Chi tiết'!$F$2:$F$349,"areaUnderPR"),"")</f>
        <v>-1.7133333333330114E-4</v>
      </c>
      <c r="I11" s="3">
        <f>_xlfn.MINIFS('Chi tiết'!$I$2:$I$349,'Chi tiết'!$A$2:$A$349,A11)</f>
        <v>-9.9579999999999669E-3</v>
      </c>
      <c r="J11" s="3">
        <f>_xlfn.MAXIFS('Chi tiết'!$I$2:$I$349,'Chi tiết'!$A$2:$A$349,A11)</f>
        <v>7.5000000000002842E-4</v>
      </c>
      <c r="K11" s="2" t="s">
        <v>65</v>
      </c>
      <c r="L11" s="2" t="s">
        <v>66</v>
      </c>
      <c r="M11" s="2" t="s">
        <v>20</v>
      </c>
    </row>
    <row r="12" spans="1:13" ht="28" x14ac:dyDescent="0.35">
      <c r="A12" s="2" t="s">
        <v>67</v>
      </c>
      <c r="B12" s="2" t="s">
        <v>14</v>
      </c>
      <c r="C12" s="2" t="s">
        <v>68</v>
      </c>
      <c r="D12" s="2" t="s">
        <v>69</v>
      </c>
      <c r="E12" s="2" t="s">
        <v>17</v>
      </c>
      <c r="F12" s="3">
        <f>IFERROR(AVERAGEIFS('Chi tiết'!$I$2:$I$349,'Chi tiết'!$A$2:$A$349,A12,'Chi tiết'!$F$2:$F$349,"r2"),"")</f>
        <v>-1.936999999999985E-3</v>
      </c>
      <c r="G12" s="3">
        <f>IFERROR(AVERAGEIFS('Chi tiết'!$I$2:$I$349,'Chi tiết'!$A$2:$A$349,A12,'Chi tiết'!$F$2:$F$349,"areaUnderROC"),"")</f>
        <v>2.4409999999999896E-3</v>
      </c>
      <c r="H12" s="3">
        <f>IFERROR(AVERAGEIFS('Chi tiết'!$I$2:$I$349,'Chi tiết'!$A$2:$A$349,A12,'Chi tiết'!$F$2:$F$349,"areaUnderPR"),"")</f>
        <v>9.1300000000001569E-4</v>
      </c>
      <c r="I12" s="3">
        <f>_xlfn.MINIFS('Chi tiết'!$I$2:$I$349,'Chi tiết'!$A$2:$A$349,A12)</f>
        <v>-4.7449999999999992E-3</v>
      </c>
      <c r="J12" s="3">
        <f>_xlfn.MAXIFS('Chi tiết'!$I$2:$I$349,'Chi tiết'!$A$2:$A$349,A12)</f>
        <v>4.4359999999999955E-3</v>
      </c>
      <c r="K12" s="2" t="s">
        <v>70</v>
      </c>
      <c r="L12" s="2" t="s">
        <v>71</v>
      </c>
      <c r="M12" s="2" t="s">
        <v>20</v>
      </c>
    </row>
    <row r="13" spans="1:13" ht="28" x14ac:dyDescent="0.35">
      <c r="A13" s="2" t="s">
        <v>72</v>
      </c>
      <c r="B13" s="2" t="s">
        <v>14</v>
      </c>
      <c r="C13" s="2" t="s">
        <v>73</v>
      </c>
      <c r="D13" s="2" t="s">
        <v>74</v>
      </c>
      <c r="E13" s="2" t="s">
        <v>75</v>
      </c>
      <c r="F13" s="3">
        <f>IFERROR(AVERAGEIFS('Chi tiết'!$I$2:$I$349,'Chi tiết'!$A$2:$A$349,A13,'Chi tiết'!$F$2:$F$349,"r2"),"")</f>
        <v>-1.3389999999999975E-3</v>
      </c>
      <c r="G13" s="3">
        <f>IFERROR(AVERAGEIFS('Chi tiết'!$I$2:$I$349,'Chi tiết'!$A$2:$A$349,A13,'Chi tiết'!$F$2:$F$349,"areaUnderROC"),"")</f>
        <v>9.5966666666665501E-4</v>
      </c>
      <c r="H13" s="3">
        <f>IFERROR(AVERAGEIFS('Chi tiết'!$I$2:$I$349,'Chi tiết'!$A$2:$A$349,A13,'Chi tiết'!$F$2:$F$349,"areaUnderPR"),"")</f>
        <v>2.1500000000000221E-3</v>
      </c>
      <c r="I13" s="3">
        <f>_xlfn.MINIFS('Chi tiết'!$I$2:$I$349,'Chi tiết'!$A$2:$A$349,A13)</f>
        <v>-3.1930000000000014E-3</v>
      </c>
      <c r="J13" s="3">
        <f>_xlfn.MAXIFS('Chi tiết'!$I$2:$I$349,'Chi tiết'!$A$2:$A$349,A13)</f>
        <v>4.0120000000000156E-3</v>
      </c>
      <c r="K13" s="2" t="s">
        <v>76</v>
      </c>
      <c r="L13" s="2" t="s">
        <v>77</v>
      </c>
      <c r="M13" s="2" t="s">
        <v>20</v>
      </c>
    </row>
    <row r="14" spans="1:13" ht="70" x14ac:dyDescent="0.35">
      <c r="A14" s="2" t="s">
        <v>78</v>
      </c>
      <c r="B14" s="2" t="s">
        <v>14</v>
      </c>
      <c r="C14" s="2" t="s">
        <v>79</v>
      </c>
      <c r="D14" s="2" t="s">
        <v>80</v>
      </c>
      <c r="E14" s="2" t="s">
        <v>17</v>
      </c>
      <c r="F14" s="3">
        <f>IFERROR(AVERAGEIFS('Chi tiết'!$I$2:$I$349,'Chi tiết'!$A$2:$A$349,A14,'Chi tiết'!$F$2:$F$349,"r2"),"")</f>
        <v>-8.1246666666666672E-3</v>
      </c>
      <c r="G14" s="3">
        <f>IFERROR(AVERAGEIFS('Chi tiết'!$I$2:$I$349,'Chi tiết'!$A$2:$A$349,A14,'Chi tiết'!$F$2:$F$349,"areaUnderROC"),"")</f>
        <v>-6.0433333333333632E-3</v>
      </c>
      <c r="H14" s="3">
        <f>IFERROR(AVERAGEIFS('Chi tiết'!$I$2:$I$349,'Chi tiết'!$A$2:$A$349,A14,'Chi tiết'!$F$2:$F$349,"areaUnderPR"),"")</f>
        <v>-5.095999999999999E-3</v>
      </c>
      <c r="I14" s="3">
        <f>_xlfn.MINIFS('Chi tiết'!$I$2:$I$349,'Chi tiết'!$A$2:$A$349,A14)</f>
        <v>-2.1074000000000002E-2</v>
      </c>
      <c r="J14" s="3">
        <f>_xlfn.MAXIFS('Chi tiết'!$I$2:$I$349,'Chi tiết'!$A$2:$A$349,A14)</f>
        <v>5.9999999999993392E-4</v>
      </c>
      <c r="K14" s="2" t="s">
        <v>81</v>
      </c>
      <c r="L14" s="2" t="s">
        <v>82</v>
      </c>
      <c r="M14" s="2" t="s">
        <v>20</v>
      </c>
    </row>
    <row r="15" spans="1:13" ht="28" x14ac:dyDescent="0.35">
      <c r="A15" s="2" t="s">
        <v>83</v>
      </c>
      <c r="B15" s="2" t="s">
        <v>14</v>
      </c>
      <c r="C15" s="2" t="s">
        <v>84</v>
      </c>
      <c r="D15" s="2" t="s">
        <v>85</v>
      </c>
      <c r="E15" s="2" t="s">
        <v>86</v>
      </c>
      <c r="F15" s="3">
        <f>IFERROR(AVERAGEIFS('Chi tiết'!$I$2:$I$349,'Chi tiết'!$A$2:$A$349,A15,'Chi tiết'!$F$2:$F$349,"r2"),"")</f>
        <v>6.2366666666667048E-4</v>
      </c>
      <c r="G15" s="3">
        <f>IFERROR(AVERAGEIFS('Chi tiết'!$I$2:$I$349,'Chi tiết'!$A$2:$A$349,A15,'Chi tiết'!$F$2:$F$349,"areaUnderROC"),"")</f>
        <v>9.6166666666671252E-4</v>
      </c>
      <c r="H15" s="3">
        <f>IFERROR(AVERAGEIFS('Chi tiết'!$I$2:$I$349,'Chi tiết'!$A$2:$A$349,A15,'Chi tiết'!$F$2:$F$349,"areaUnderPR"),"")</f>
        <v>4.5560000000000418E-3</v>
      </c>
      <c r="I15" s="3">
        <f>_xlfn.MINIFS('Chi tiết'!$I$2:$I$349,'Chi tiết'!$A$2:$A$349,A15)</f>
        <v>-1.0330000000000061E-3</v>
      </c>
      <c r="J15" s="3">
        <f>_xlfn.MAXIFS('Chi tiết'!$I$2:$I$349,'Chi tiết'!$A$2:$A$349,A15)</f>
        <v>6.3220000000000498E-3</v>
      </c>
      <c r="K15" s="2" t="s">
        <v>87</v>
      </c>
      <c r="L15" s="2" t="s">
        <v>88</v>
      </c>
      <c r="M15" s="2" t="s">
        <v>89</v>
      </c>
    </row>
    <row r="16" spans="1:13" x14ac:dyDescent="0.35">
      <c r="A16" s="2" t="s">
        <v>90</v>
      </c>
      <c r="B16" s="2" t="s">
        <v>14</v>
      </c>
      <c r="C16" s="2" t="s">
        <v>91</v>
      </c>
      <c r="D16" s="2" t="s">
        <v>92</v>
      </c>
      <c r="E16" s="2" t="s">
        <v>17</v>
      </c>
      <c r="F16" s="3">
        <f>IFERROR(AVERAGEIFS('Chi tiết'!$I$2:$I$349,'Chi tiết'!$A$2:$A$349,A16,'Chi tiết'!$F$2:$F$349,"r2"),"")</f>
        <v>-4.7233333333333388E-4</v>
      </c>
      <c r="G16" s="3">
        <f>IFERROR(AVERAGEIFS('Chi tiết'!$I$2:$I$349,'Chi tiết'!$A$2:$A$349,A16,'Chi tiết'!$F$2:$F$349,"areaUnderROC"),"")</f>
        <v>-1.7763333333333058E-3</v>
      </c>
      <c r="H16" s="3">
        <f>IFERROR(AVERAGEIFS('Chi tiết'!$I$2:$I$349,'Chi tiết'!$A$2:$A$349,A16,'Chi tiết'!$F$2:$F$349,"areaUnderPR"),"")</f>
        <v>-2.006666666665898E-4</v>
      </c>
      <c r="I16" s="3">
        <f>_xlfn.MINIFS('Chi tiết'!$I$2:$I$349,'Chi tiết'!$A$2:$A$349,A16)</f>
        <v>-3.8159999999999306E-3</v>
      </c>
      <c r="J16" s="3">
        <f>_xlfn.MAXIFS('Chi tiết'!$I$2:$I$349,'Chi tiết'!$A$2:$A$349,A16)</f>
        <v>5.3200000000008796E-4</v>
      </c>
      <c r="K16" s="2" t="s">
        <v>93</v>
      </c>
      <c r="L16" s="2" t="s">
        <v>94</v>
      </c>
      <c r="M16" s="2" t="s">
        <v>89</v>
      </c>
    </row>
    <row r="17" spans="1:13" ht="28" x14ac:dyDescent="0.35">
      <c r="A17" s="2" t="s">
        <v>95</v>
      </c>
      <c r="B17" s="2" t="s">
        <v>14</v>
      </c>
      <c r="C17" s="2" t="s">
        <v>96</v>
      </c>
      <c r="D17" s="2" t="s">
        <v>97</v>
      </c>
      <c r="E17" s="2" t="s">
        <v>24</v>
      </c>
      <c r="F17" s="3">
        <f>IFERROR(AVERAGEIFS('Chi tiết'!$I$2:$I$349,'Chi tiết'!$A$2:$A$349,A17,'Chi tiết'!$F$2:$F$349,"r2"),"")</f>
        <v>-1.732000000000002E-3</v>
      </c>
      <c r="G17" s="3">
        <f>IFERROR(AVERAGEIFS('Chi tiết'!$I$2:$I$349,'Chi tiết'!$A$2:$A$349,A17,'Chi tiết'!$F$2:$F$349,"areaUnderROC"),"")</f>
        <v>-4.7266666666666195E-3</v>
      </c>
      <c r="H17" s="3">
        <f>IFERROR(AVERAGEIFS('Chi tiết'!$I$2:$I$349,'Chi tiết'!$A$2:$A$349,A17,'Chi tiết'!$F$2:$F$349,"areaUnderPR"),"")</f>
        <v>-2.0266666666661029E-4</v>
      </c>
      <c r="I17" s="3">
        <f>_xlfn.MINIFS('Chi tiết'!$I$2:$I$349,'Chi tiết'!$A$2:$A$349,A17)</f>
        <v>-9.4419999999999504E-3</v>
      </c>
      <c r="J17" s="3">
        <f>_xlfn.MAXIFS('Chi tiết'!$I$2:$I$349,'Chi tiết'!$A$2:$A$349,A17)</f>
        <v>1.8000000000006899E-4</v>
      </c>
      <c r="K17" s="2" t="s">
        <v>98</v>
      </c>
      <c r="L17" s="2" t="s">
        <v>94</v>
      </c>
      <c r="M17" s="2" t="s">
        <v>89</v>
      </c>
    </row>
    <row r="18" spans="1:13" ht="28" x14ac:dyDescent="0.35">
      <c r="A18" s="2" t="s">
        <v>99</v>
      </c>
      <c r="B18" s="2" t="s">
        <v>14</v>
      </c>
      <c r="C18" s="2" t="s">
        <v>100</v>
      </c>
      <c r="D18" s="2" t="s">
        <v>101</v>
      </c>
      <c r="E18" s="2" t="s">
        <v>102</v>
      </c>
      <c r="F18" s="3">
        <f>IFERROR(AVERAGEIFS('Chi tiết'!$I$2:$I$349,'Chi tiết'!$A$2:$A$349,A18,'Chi tiết'!$F$2:$F$349,"r2"),"")</f>
        <v>-6.1316666666666741E-3</v>
      </c>
      <c r="G18" s="3">
        <f>IFERROR(AVERAGEIFS('Chi tiết'!$I$2:$I$349,'Chi tiết'!$A$2:$A$349,A18,'Chi tiết'!$F$2:$F$349,"areaUnderROC"),"")</f>
        <v>-8.9399999999998736E-4</v>
      </c>
      <c r="H18" s="3">
        <f>IFERROR(AVERAGEIFS('Chi tiết'!$I$2:$I$349,'Chi tiết'!$A$2:$A$349,A18,'Chi tiết'!$F$2:$F$349,"areaUnderPR"),"")</f>
        <v>-1.8173333333332635E-3</v>
      </c>
      <c r="I18" s="3">
        <f>_xlfn.MINIFS('Chi tiết'!$I$2:$I$349,'Chi tiết'!$A$2:$A$349,A18)</f>
        <v>-1.7877000000000032E-2</v>
      </c>
      <c r="J18" s="3">
        <f>_xlfn.MAXIFS('Chi tiết'!$I$2:$I$349,'Chi tiết'!$A$2:$A$349,A18)</f>
        <v>6.0000000000060005E-6</v>
      </c>
      <c r="K18" s="2" t="s">
        <v>103</v>
      </c>
      <c r="L18" s="2" t="s">
        <v>104</v>
      </c>
      <c r="M18" s="2" t="s">
        <v>89</v>
      </c>
    </row>
    <row r="19" spans="1:13" x14ac:dyDescent="0.35">
      <c r="A19" s="2" t="s">
        <v>105</v>
      </c>
      <c r="B19" s="2" t="s">
        <v>14</v>
      </c>
      <c r="C19" s="2" t="s">
        <v>106</v>
      </c>
      <c r="D19" s="2" t="s">
        <v>107</v>
      </c>
      <c r="E19" s="2" t="s">
        <v>24</v>
      </c>
      <c r="F19" s="3">
        <f>IFERROR(AVERAGEIFS('Chi tiết'!$I$2:$I$349,'Chi tiết'!$A$2:$A$349,A19,'Chi tiết'!$F$2:$F$349,"r2"),"")</f>
        <v>-1.3169999999999942E-3</v>
      </c>
      <c r="G19" s="3">
        <f>IFERROR(AVERAGEIFS('Chi tiết'!$I$2:$I$349,'Chi tiết'!$A$2:$A$349,A19,'Chi tiết'!$F$2:$F$349,"areaUnderROC"),"")</f>
        <v>-2.4483333333333115E-3</v>
      </c>
      <c r="H19" s="3">
        <f>IFERROR(AVERAGEIFS('Chi tiết'!$I$2:$I$349,'Chi tiết'!$A$2:$A$349,A19,'Chi tiết'!$F$2:$F$349,"areaUnderPR"),"")</f>
        <v>3.890000000000467E-4</v>
      </c>
      <c r="I19" s="3">
        <f>_xlfn.MINIFS('Chi tiết'!$I$2:$I$349,'Chi tiết'!$A$2:$A$349,A19)</f>
        <v>-2.8070000000000039E-3</v>
      </c>
      <c r="J19" s="3">
        <f>_xlfn.MAXIFS('Chi tiết'!$I$2:$I$349,'Chi tiết'!$A$2:$A$349,A19)</f>
        <v>1.3980000000000103E-3</v>
      </c>
      <c r="K19" s="2" t="s">
        <v>108</v>
      </c>
      <c r="L19" s="2" t="s">
        <v>104</v>
      </c>
      <c r="M19" s="2" t="s">
        <v>89</v>
      </c>
    </row>
    <row r="20" spans="1:13" ht="28" x14ac:dyDescent="0.35">
      <c r="A20" s="2" t="s">
        <v>109</v>
      </c>
      <c r="B20" s="2" t="s">
        <v>14</v>
      </c>
      <c r="C20" s="2" t="s">
        <v>110</v>
      </c>
      <c r="D20" s="2" t="s">
        <v>111</v>
      </c>
      <c r="E20" s="2" t="s">
        <v>112</v>
      </c>
      <c r="F20" s="3">
        <f>IFERROR(AVERAGEIFS('Chi tiết'!$I$2:$I$349,'Chi tiết'!$A$2:$A$349,A20,'Chi tiết'!$F$2:$F$349,"r2"),"")</f>
        <v>-1.4049999999999989E-3</v>
      </c>
      <c r="G20" s="3">
        <f>IFERROR(AVERAGEIFS('Chi tiết'!$I$2:$I$349,'Chi tiết'!$A$2:$A$349,A20,'Chi tiết'!$F$2:$F$349,"areaUnderROC"),"")</f>
        <v>-8.6133333333326956E-4</v>
      </c>
      <c r="H20" s="3">
        <f>IFERROR(AVERAGEIFS('Chi tiết'!$I$2:$I$349,'Chi tiết'!$A$2:$A$349,A20,'Chi tiết'!$F$2:$F$349,"areaUnderPR"),"")</f>
        <v>-5.9899999999994214E-4</v>
      </c>
      <c r="I20" s="3">
        <f>_xlfn.MINIFS('Chi tiết'!$I$2:$I$349,'Chi tiết'!$A$2:$A$349,A20)</f>
        <v>-2.7529999999998944E-3</v>
      </c>
      <c r="J20" s="3">
        <f>_xlfn.MAXIFS('Chi tiết'!$I$2:$I$349,'Chi tiết'!$A$2:$A$349,A20)</f>
        <v>3.1100000000006123E-4</v>
      </c>
      <c r="K20" s="2" t="s">
        <v>113</v>
      </c>
      <c r="L20" s="2" t="s">
        <v>114</v>
      </c>
      <c r="M20" s="2" t="s">
        <v>89</v>
      </c>
    </row>
    <row r="21" spans="1:13" ht="28" x14ac:dyDescent="0.35">
      <c r="A21" s="2" t="s">
        <v>115</v>
      </c>
      <c r="B21" s="2" t="s">
        <v>14</v>
      </c>
      <c r="C21" s="2" t="s">
        <v>116</v>
      </c>
      <c r="D21" s="2" t="s">
        <v>117</v>
      </c>
      <c r="E21" s="2" t="s">
        <v>118</v>
      </c>
      <c r="F21" s="3">
        <f>IFERROR(AVERAGEIFS('Chi tiết'!$I$2:$I$349,'Chi tiết'!$A$2:$A$349,A21,'Chi tiết'!$F$2:$F$349,"r2"),"")</f>
        <v>-8.3933333333332161E-4</v>
      </c>
      <c r="G21" s="3">
        <f>IFERROR(AVERAGEIFS('Chi tiết'!$I$2:$I$349,'Chi tiết'!$A$2:$A$349,A21,'Chi tiết'!$F$2:$F$349,"areaUnderROC"),"")</f>
        <v>5.8799999999999597E-4</v>
      </c>
      <c r="H21" s="3">
        <f>IFERROR(AVERAGEIFS('Chi tiết'!$I$2:$I$349,'Chi tiết'!$A$2:$A$349,A21,'Chi tiết'!$F$2:$F$349,"areaUnderPR"),"")</f>
        <v>2.5723333333333986E-3</v>
      </c>
      <c r="I21" s="3">
        <f>_xlfn.MINIFS('Chi tiết'!$I$2:$I$349,'Chi tiết'!$A$2:$A$349,A21)</f>
        <v>-3.3449999999999869E-3</v>
      </c>
      <c r="J21" s="3">
        <f>_xlfn.MAXIFS('Chi tiết'!$I$2:$I$349,'Chi tiết'!$A$2:$A$349,A21)</f>
        <v>4.7410000000001062E-3</v>
      </c>
      <c r="K21" s="2" t="s">
        <v>119</v>
      </c>
      <c r="L21" s="2" t="s">
        <v>120</v>
      </c>
      <c r="M21" s="2" t="s">
        <v>89</v>
      </c>
    </row>
    <row r="22" spans="1:13" ht="28" x14ac:dyDescent="0.35">
      <c r="A22" s="2" t="s">
        <v>121</v>
      </c>
      <c r="B22" s="2" t="s">
        <v>14</v>
      </c>
      <c r="C22" s="2" t="s">
        <v>122</v>
      </c>
      <c r="D22" s="2" t="s">
        <v>123</v>
      </c>
      <c r="E22" s="2" t="s">
        <v>124</v>
      </c>
      <c r="F22" s="3">
        <f>IFERROR(AVERAGEIFS('Chi tiết'!$I$2:$I$349,'Chi tiết'!$A$2:$A$349,A22,'Chi tiết'!$F$2:$F$349,"r2"),"")</f>
        <v>-6.0933333333333299E-3</v>
      </c>
      <c r="G22" s="3">
        <f>IFERROR(AVERAGEIFS('Chi tiết'!$I$2:$I$349,'Chi tiết'!$A$2:$A$349,A22,'Chi tiết'!$F$2:$F$349,"areaUnderROC"),"")</f>
        <v>-1.3919999999999859E-3</v>
      </c>
      <c r="H22" s="3">
        <f>IFERROR(AVERAGEIFS('Chi tiết'!$I$2:$I$349,'Chi tiết'!$A$2:$A$349,A22,'Chi tiết'!$F$2:$F$349,"areaUnderPR"),"")</f>
        <v>-1.6879999999999489E-3</v>
      </c>
      <c r="I22" s="3">
        <f>_xlfn.MINIFS('Chi tiết'!$I$2:$I$349,'Chi tiết'!$A$2:$A$349,A22)</f>
        <v>-1.7591999999999997E-2</v>
      </c>
      <c r="J22" s="3">
        <f>_xlfn.MAXIFS('Chi tiết'!$I$2:$I$349,'Chi tiết'!$A$2:$A$349,A22)</f>
        <v>2.9299999999998771E-4</v>
      </c>
      <c r="K22" s="2" t="s">
        <v>125</v>
      </c>
      <c r="L22" s="2" t="s">
        <v>120</v>
      </c>
      <c r="M22" s="2" t="s">
        <v>89</v>
      </c>
    </row>
    <row r="23" spans="1:13" ht="28" x14ac:dyDescent="0.35">
      <c r="A23" s="2" t="s">
        <v>126</v>
      </c>
      <c r="B23" s="2" t="s">
        <v>14</v>
      </c>
      <c r="C23" s="2" t="s">
        <v>127</v>
      </c>
      <c r="D23" s="2" t="s">
        <v>128</v>
      </c>
      <c r="E23" s="2" t="s">
        <v>129</v>
      </c>
      <c r="F23" s="3">
        <f>IFERROR(AVERAGEIFS('Chi tiết'!$I$2:$I$349,'Chi tiết'!$A$2:$A$349,A23,'Chi tiết'!$F$2:$F$349,"r2"),"")</f>
        <v>-6.8290000000000017E-3</v>
      </c>
      <c r="G23" s="3">
        <f>IFERROR(AVERAGEIFS('Chi tiết'!$I$2:$I$349,'Chi tiết'!$A$2:$A$349,A23,'Chi tiết'!$F$2:$F$349,"areaUnderROC"),"")</f>
        <v>-1.3233333333333059E-3</v>
      </c>
      <c r="H23" s="3">
        <f>IFERROR(AVERAGEIFS('Chi tiết'!$I$2:$I$349,'Chi tiết'!$A$2:$A$349,A23,'Chi tiết'!$F$2:$F$349,"areaUnderPR"),"")</f>
        <v>1.7170000000000425E-3</v>
      </c>
      <c r="I23" s="3">
        <f>_xlfn.MINIFS('Chi tiết'!$I$2:$I$349,'Chi tiết'!$A$2:$A$349,A23)</f>
        <v>-1.7506000000000022E-2</v>
      </c>
      <c r="J23" s="3">
        <f>_xlfn.MAXIFS('Chi tiết'!$I$2:$I$349,'Chi tiết'!$A$2:$A$349,A23)</f>
        <v>7.9620000000000246E-3</v>
      </c>
      <c r="K23" s="2" t="s">
        <v>130</v>
      </c>
      <c r="L23" s="2" t="s">
        <v>131</v>
      </c>
      <c r="M23" s="2" t="s">
        <v>89</v>
      </c>
    </row>
    <row r="24" spans="1:13" ht="28" x14ac:dyDescent="0.35">
      <c r="A24" s="2" t="s">
        <v>132</v>
      </c>
      <c r="B24" s="2" t="s">
        <v>14</v>
      </c>
      <c r="C24" s="2" t="s">
        <v>133</v>
      </c>
      <c r="D24" s="2" t="s">
        <v>134</v>
      </c>
      <c r="E24" s="2" t="s">
        <v>24</v>
      </c>
      <c r="F24" s="3">
        <f>IFERROR(AVERAGEIFS('Chi tiết'!$I$2:$I$349,'Chi tiết'!$A$2:$A$349,A24,'Chi tiết'!$F$2:$F$349,"r2"),"")</f>
        <v>-5.8063333333333396E-3</v>
      </c>
      <c r="G24" s="3">
        <f>IFERROR(AVERAGEIFS('Chi tiết'!$I$2:$I$349,'Chi tiết'!$A$2:$A$349,A24,'Chi tiết'!$F$2:$F$349,"areaUnderROC"),"")</f>
        <v>-2.2330000000000036E-3</v>
      </c>
      <c r="H24" s="3">
        <f>IFERROR(AVERAGEIFS('Chi tiết'!$I$2:$I$349,'Chi tiết'!$A$2:$A$349,A24,'Chi tiết'!$F$2:$F$349,"areaUnderPR"),"")</f>
        <v>-1.9683333333332755E-3</v>
      </c>
      <c r="I24" s="3">
        <f>_xlfn.MINIFS('Chi tiết'!$I$2:$I$349,'Chi tiết'!$A$2:$A$349,A24)</f>
        <v>-1.5865000000000018E-2</v>
      </c>
      <c r="J24" s="3">
        <f>_xlfn.MAXIFS('Chi tiết'!$I$2:$I$349,'Chi tiết'!$A$2:$A$349,A24)</f>
        <v>2.8900000000009474E-4</v>
      </c>
      <c r="K24" s="2" t="s">
        <v>135</v>
      </c>
      <c r="L24" s="2" t="s">
        <v>131</v>
      </c>
      <c r="M24" s="2" t="s">
        <v>89</v>
      </c>
    </row>
    <row r="25" spans="1:13" x14ac:dyDescent="0.35">
      <c r="A25" s="2" t="s">
        <v>136</v>
      </c>
      <c r="B25" s="2" t="s">
        <v>14</v>
      </c>
      <c r="C25" s="2" t="s">
        <v>137</v>
      </c>
      <c r="D25" s="2" t="s">
        <v>138</v>
      </c>
      <c r="E25" s="2" t="s">
        <v>24</v>
      </c>
      <c r="F25" s="3">
        <f>IFERROR(AVERAGEIFS('Chi tiết'!$I$2:$I$349,'Chi tiết'!$A$2:$A$349,A25,'Chi tiết'!$F$2:$F$349,"r2"),"")</f>
        <v>-8.9920000000000087E-3</v>
      </c>
      <c r="G25" s="3">
        <f>IFERROR(AVERAGEIFS('Chi tiết'!$I$2:$I$349,'Chi tiết'!$A$2:$A$349,A25,'Chi tiết'!$F$2:$F$349,"areaUnderROC"),"")</f>
        <v>-1.3169999999999979E-2</v>
      </c>
      <c r="H25" s="3">
        <f>IFERROR(AVERAGEIFS('Chi tiết'!$I$2:$I$349,'Chi tiết'!$A$2:$A$349,A25,'Chi tiết'!$F$2:$F$349,"areaUnderPR"),"")</f>
        <v>-1.0238333333333275E-2</v>
      </c>
      <c r="I25" s="3">
        <f>_xlfn.MINIFS('Chi tiết'!$I$2:$I$349,'Chi tiết'!$A$2:$A$349,A25)</f>
        <v>-1.8931000000000031E-2</v>
      </c>
      <c r="J25" s="3">
        <f>_xlfn.MAXIFS('Chi tiết'!$I$2:$I$349,'Chi tiết'!$A$2:$A$349,A25)</f>
        <v>-2.1840000000000193E-3</v>
      </c>
      <c r="K25" s="2" t="s">
        <v>139</v>
      </c>
      <c r="L25" s="2" t="s">
        <v>131</v>
      </c>
      <c r="M25" s="2" t="s">
        <v>89</v>
      </c>
    </row>
    <row r="26" spans="1:13" x14ac:dyDescent="0.35">
      <c r="A26" s="2" t="s">
        <v>140</v>
      </c>
      <c r="B26" s="2" t="s">
        <v>14</v>
      </c>
      <c r="C26" s="2" t="s">
        <v>141</v>
      </c>
      <c r="D26" s="2" t="s">
        <v>142</v>
      </c>
      <c r="E26" s="2" t="s">
        <v>17</v>
      </c>
      <c r="F26" s="3">
        <f>IFERROR(AVERAGEIFS('Chi tiết'!$I$2:$I$349,'Chi tiết'!$A$2:$A$349,A26,'Chi tiết'!$F$2:$F$349,"r2"),"")</f>
        <v>-1.6616666666666817E-3</v>
      </c>
      <c r="G26" s="3">
        <f>IFERROR(AVERAGEIFS('Chi tiết'!$I$2:$I$349,'Chi tiết'!$A$2:$A$349,A26,'Chi tiết'!$F$2:$F$349,"areaUnderROC"),"")</f>
        <v>-1.067666666666615E-3</v>
      </c>
      <c r="H26" s="3">
        <f>IFERROR(AVERAGEIFS('Chi tiết'!$I$2:$I$349,'Chi tiết'!$A$2:$A$349,A26,'Chi tiết'!$F$2:$F$349,"areaUnderPR"),"")</f>
        <v>1.8766666666669707E-4</v>
      </c>
      <c r="I26" s="3">
        <f>_xlfn.MINIFS('Chi tiết'!$I$2:$I$349,'Chi tiết'!$A$2:$A$349,A26)</f>
        <v>-3.0180000000000207E-3</v>
      </c>
      <c r="J26" s="3">
        <f>_xlfn.MAXIFS('Chi tiết'!$I$2:$I$349,'Chi tiết'!$A$2:$A$349,A26)</f>
        <v>1.6300000000000203E-3</v>
      </c>
      <c r="K26" s="2" t="s">
        <v>143</v>
      </c>
      <c r="L26" s="2" t="s">
        <v>131</v>
      </c>
      <c r="M26" s="2" t="s">
        <v>89</v>
      </c>
    </row>
    <row r="27" spans="1:13" x14ac:dyDescent="0.35">
      <c r="A27" s="2" t="s">
        <v>144</v>
      </c>
      <c r="B27" s="2" t="s">
        <v>14</v>
      </c>
      <c r="C27" s="2" t="s">
        <v>145</v>
      </c>
      <c r="D27" s="2" t="s">
        <v>101</v>
      </c>
      <c r="E27" s="2" t="s">
        <v>17</v>
      </c>
      <c r="F27" s="3">
        <f>IFERROR(AVERAGEIFS('Chi tiết'!$I$2:$I$349,'Chi tiết'!$A$2:$A$349,A27,'Chi tiết'!$F$2:$F$349,"r2"),"")</f>
        <v>3.2803333333333482E-3</v>
      </c>
      <c r="G27" s="3">
        <f>IFERROR(AVERAGEIFS('Chi tiết'!$I$2:$I$349,'Chi tiết'!$A$2:$A$349,A27,'Chi tiết'!$F$2:$F$349,"areaUnderROC"),"")</f>
        <v>-3.7499999999997719E-4</v>
      </c>
      <c r="H27" s="3">
        <f>IFERROR(AVERAGEIFS('Chi tiết'!$I$2:$I$349,'Chi tiết'!$A$2:$A$349,A27,'Chi tiết'!$F$2:$F$349,"areaUnderPR"),"")</f>
        <v>9.5633333333333681E-4</v>
      </c>
      <c r="I27" s="3">
        <f>_xlfn.MINIFS('Chi tiết'!$I$2:$I$349,'Chi tiết'!$A$2:$A$349,A27)</f>
        <v>-1.734999999999931E-3</v>
      </c>
      <c r="J27" s="3">
        <f>_xlfn.MAXIFS('Chi tiết'!$I$2:$I$349,'Chi tiết'!$A$2:$A$349,A27)</f>
        <v>9.9520000000000164E-3</v>
      </c>
      <c r="K27" s="2" t="s">
        <v>146</v>
      </c>
      <c r="L27" s="2" t="s">
        <v>147</v>
      </c>
      <c r="M27" s="2" t="s">
        <v>148</v>
      </c>
    </row>
    <row r="28" spans="1:13" x14ac:dyDescent="0.35">
      <c r="A28" s="2" t="s">
        <v>149</v>
      </c>
      <c r="B28" s="2" t="s">
        <v>14</v>
      </c>
      <c r="C28" s="2" t="s">
        <v>150</v>
      </c>
      <c r="D28" s="2" t="s">
        <v>101</v>
      </c>
      <c r="E28" s="2" t="s">
        <v>17</v>
      </c>
      <c r="F28" s="3">
        <f>IFERROR(AVERAGEIFS('Chi tiết'!$I$2:$I$349,'Chi tiết'!$A$2:$A$349,A28,'Chi tiết'!$F$2:$F$349,"r2"),"")</f>
        <v>1.0793333333333395E-3</v>
      </c>
      <c r="G28" s="3">
        <f>IFERROR(AVERAGEIFS('Chi tiết'!$I$2:$I$349,'Chi tiết'!$A$2:$A$349,A28,'Chi tiết'!$F$2:$F$349,"areaUnderROC"),"")</f>
        <v>-1.999999999946489E-6</v>
      </c>
      <c r="H28" s="3">
        <f>IFERROR(AVERAGEIFS('Chi tiết'!$I$2:$I$349,'Chi tiết'!$A$2:$A$349,A28,'Chi tiết'!$F$2:$F$349,"areaUnderPR"),"")</f>
        <v>1.0533333333333506E-3</v>
      </c>
      <c r="I28" s="3">
        <f>_xlfn.MINIFS('Chi tiết'!$I$2:$I$349,'Chi tiết'!$A$2:$A$349,A28)</f>
        <v>-1.1970000000000036E-3</v>
      </c>
      <c r="J28" s="3">
        <f>_xlfn.MAXIFS('Chi tiết'!$I$2:$I$349,'Chi tiết'!$A$2:$A$349,A28)</f>
        <v>3.1970000000000054E-3</v>
      </c>
      <c r="K28" s="2" t="s">
        <v>57</v>
      </c>
      <c r="L28" s="2" t="s">
        <v>151</v>
      </c>
      <c r="M28" s="2" t="s">
        <v>148</v>
      </c>
    </row>
    <row r="29" spans="1:13" x14ac:dyDescent="0.35">
      <c r="A29" s="2" t="s">
        <v>152</v>
      </c>
      <c r="B29" s="2" t="s">
        <v>14</v>
      </c>
      <c r="C29" s="2" t="s">
        <v>153</v>
      </c>
      <c r="D29" s="2" t="s">
        <v>101</v>
      </c>
      <c r="E29" s="2" t="s">
        <v>17</v>
      </c>
      <c r="F29" s="3">
        <f>IFERROR(AVERAGEIFS('Chi tiết'!$I$2:$I$349,'Chi tiết'!$A$2:$A$349,A29,'Chi tiết'!$F$2:$F$349,"r2"),"")</f>
        <v>9.0433333333334032E-4</v>
      </c>
      <c r="G29" s="3">
        <f>IFERROR(AVERAGEIFS('Chi tiết'!$I$2:$I$349,'Chi tiết'!$A$2:$A$349,A29,'Chi tiết'!$F$2:$F$349,"areaUnderROC"),"")</f>
        <v>-7.689999999999827E-4</v>
      </c>
      <c r="H29" s="3">
        <f>IFERROR(AVERAGEIFS('Chi tiết'!$I$2:$I$349,'Chi tiết'!$A$2:$A$349,A29,'Chi tiết'!$F$2:$F$349,"areaUnderPR"),"")</f>
        <v>1.6893333333333576E-3</v>
      </c>
      <c r="I29" s="3">
        <f>_xlfn.MINIFS('Chi tiết'!$I$2:$I$349,'Chi tiết'!$A$2:$A$349,A29)</f>
        <v>-1.3279999999999959E-3</v>
      </c>
      <c r="J29" s="3">
        <f>_xlfn.MAXIFS('Chi tiết'!$I$2:$I$349,'Chi tiết'!$A$2:$A$349,A29)</f>
        <v>2.163000000000026E-3</v>
      </c>
      <c r="K29" s="2" t="s">
        <v>57</v>
      </c>
      <c r="L29" s="2" t="s">
        <v>154</v>
      </c>
      <c r="M29" s="2" t="s">
        <v>148</v>
      </c>
    </row>
    <row r="30" spans="1:13" x14ac:dyDescent="0.35">
      <c r="A30" s="2" t="s">
        <v>155</v>
      </c>
      <c r="B30" s="2" t="s">
        <v>14</v>
      </c>
      <c r="C30" s="2" t="s">
        <v>156</v>
      </c>
      <c r="D30" s="2" t="s">
        <v>117</v>
      </c>
      <c r="E30" s="2" t="s">
        <v>118</v>
      </c>
      <c r="F30" s="3">
        <f>IFERROR(AVERAGEIFS('Chi tiết'!$I$2:$I$349,'Chi tiết'!$A$2:$A$349,A30,'Chi tiết'!$F$2:$F$349,"r2"),"")</f>
        <v>2.9886666666666764E-3</v>
      </c>
      <c r="G30" s="3">
        <f>IFERROR(AVERAGEIFS('Chi tiết'!$I$2:$I$349,'Chi tiết'!$A$2:$A$349,A30,'Chi tiết'!$F$2:$F$349,"areaUnderROC"),"")</f>
        <v>1.3133333333333516E-4</v>
      </c>
      <c r="H30" s="3">
        <f>IFERROR(AVERAGEIFS('Chi tiết'!$I$2:$I$349,'Chi tiết'!$A$2:$A$349,A30,'Chi tiết'!$F$2:$F$349,"areaUnderPR"),"")</f>
        <v>1.0023333333333273E-3</v>
      </c>
      <c r="I30" s="3">
        <f>_xlfn.MINIFS('Chi tiết'!$I$2:$I$349,'Chi tiết'!$A$2:$A$349,A30)</f>
        <v>-2.7509999999999479E-3</v>
      </c>
      <c r="J30" s="3">
        <f>_xlfn.MAXIFS('Chi tiết'!$I$2:$I$349,'Chi tiết'!$A$2:$A$349,A30)</f>
        <v>1.1430999999999969E-2</v>
      </c>
      <c r="K30" s="2" t="s">
        <v>157</v>
      </c>
      <c r="L30" s="2" t="s">
        <v>147</v>
      </c>
      <c r="M30" s="2" t="s">
        <v>148</v>
      </c>
    </row>
    <row r="31" spans="1:13" x14ac:dyDescent="0.35">
      <c r="A31" s="2" t="s">
        <v>158</v>
      </c>
      <c r="B31" s="2" t="s">
        <v>14</v>
      </c>
      <c r="C31" s="2" t="s">
        <v>159</v>
      </c>
      <c r="D31" s="2" t="s">
        <v>117</v>
      </c>
      <c r="E31" s="2" t="s">
        <v>118</v>
      </c>
      <c r="F31" s="3">
        <f>IFERROR(AVERAGEIFS('Chi tiết'!$I$2:$I$349,'Chi tiết'!$A$2:$A$349,A31,'Chi tiết'!$F$2:$F$349,"r2"),"")</f>
        <v>7.2396666666666625E-3</v>
      </c>
      <c r="G31" s="3">
        <f>IFERROR(AVERAGEIFS('Chi tiết'!$I$2:$I$349,'Chi tiết'!$A$2:$A$349,A31,'Chi tiết'!$F$2:$F$349,"areaUnderROC"),"")</f>
        <v>9.8733333333337714E-4</v>
      </c>
      <c r="H31" s="3">
        <f>IFERROR(AVERAGEIFS('Chi tiết'!$I$2:$I$349,'Chi tiết'!$A$2:$A$349,A31,'Chi tiết'!$F$2:$F$349,"areaUnderPR"),"")</f>
        <v>3.0523333333333604E-3</v>
      </c>
      <c r="I31" s="3">
        <f>_xlfn.MINIFS('Chi tiết'!$I$2:$I$349,'Chi tiết'!$A$2:$A$349,A31)</f>
        <v>-1.4339999999999908E-3</v>
      </c>
      <c r="J31" s="3">
        <f>_xlfn.MAXIFS('Chi tiết'!$I$2:$I$349,'Chi tiết'!$A$2:$A$349,A31)</f>
        <v>2.1892999999999996E-2</v>
      </c>
      <c r="K31" s="2"/>
      <c r="L31" s="2" t="s">
        <v>151</v>
      </c>
      <c r="M31" s="2" t="s">
        <v>148</v>
      </c>
    </row>
    <row r="32" spans="1:13" x14ac:dyDescent="0.35">
      <c r="A32" s="2" t="s">
        <v>160</v>
      </c>
      <c r="B32" s="2" t="s">
        <v>14</v>
      </c>
      <c r="C32" s="2" t="s">
        <v>161</v>
      </c>
      <c r="D32" s="2" t="s">
        <v>117</v>
      </c>
      <c r="E32" s="2" t="s">
        <v>118</v>
      </c>
      <c r="F32" s="3">
        <f>IFERROR(AVERAGEIFS('Chi tiết'!$I$2:$I$349,'Chi tiết'!$A$2:$A$349,A32,'Chi tiết'!$F$2:$F$349,"r2"),"")</f>
        <v>1.7080000000000057E-3</v>
      </c>
      <c r="G32" s="3">
        <f>IFERROR(AVERAGEIFS('Chi tiết'!$I$2:$I$349,'Chi tiết'!$A$2:$A$349,A32,'Chi tiết'!$F$2:$F$349,"areaUnderROC"),"")</f>
        <v>-3.1999999999957986E-5</v>
      </c>
      <c r="H32" s="3">
        <f>IFERROR(AVERAGEIFS('Chi tiết'!$I$2:$I$349,'Chi tiết'!$A$2:$A$349,A32,'Chi tiết'!$F$2:$F$349,"areaUnderPR"),"")</f>
        <v>6.1103333333333287E-3</v>
      </c>
      <c r="I32" s="3">
        <f>_xlfn.MINIFS('Chi tiết'!$I$2:$I$349,'Chi tiết'!$A$2:$A$349,A32)</f>
        <v>-3.1449999999999534E-3</v>
      </c>
      <c r="J32" s="3">
        <f>_xlfn.MAXIFS('Chi tiết'!$I$2:$I$349,'Chi tiết'!$A$2:$A$349,A32)</f>
        <v>1.8764000000000003E-2</v>
      </c>
      <c r="K32" s="2"/>
      <c r="L32" s="2" t="s">
        <v>154</v>
      </c>
      <c r="M32" s="2" t="s">
        <v>148</v>
      </c>
    </row>
    <row r="33" spans="1:13" ht="28" x14ac:dyDescent="0.35">
      <c r="A33" s="2" t="s">
        <v>162</v>
      </c>
      <c r="B33" s="2" t="s">
        <v>14</v>
      </c>
      <c r="C33" s="2" t="s">
        <v>163</v>
      </c>
      <c r="D33" s="2" t="s">
        <v>35</v>
      </c>
      <c r="E33" s="2" t="s">
        <v>24</v>
      </c>
      <c r="F33" s="3">
        <f>IFERROR(AVERAGEIFS('Chi tiết'!$I$2:$I$349,'Chi tiết'!$A$2:$A$349,A33,'Chi tiết'!$F$2:$F$349,"r2"),"")</f>
        <v>-0.29153899999999999</v>
      </c>
      <c r="G33" s="3">
        <f>IFERROR(AVERAGEIFS('Chi tiết'!$I$2:$I$349,'Chi tiết'!$A$2:$A$349,A33,'Chi tiết'!$F$2:$F$349,"areaUnderROC"),"")</f>
        <v>-0.14995366666666665</v>
      </c>
      <c r="H33" s="3">
        <f>IFERROR(AVERAGEIFS('Chi tiết'!$I$2:$I$349,'Chi tiết'!$A$2:$A$349,A33,'Chi tiết'!$F$2:$F$349,"areaUnderPR"),"")</f>
        <v>-0.349524</v>
      </c>
      <c r="I33" s="3">
        <f>_xlfn.MINIFS('Chi tiết'!$I$2:$I$349,'Chi tiết'!$A$2:$A$349,A33)</f>
        <v>-0.35128700000000002</v>
      </c>
      <c r="J33" s="3">
        <f>_xlfn.MAXIFS('Chi tiết'!$I$2:$I$349,'Chi tiết'!$A$2:$A$349,A33)</f>
        <v>-0.14838200000000001</v>
      </c>
      <c r="K33" s="2" t="s">
        <v>164</v>
      </c>
      <c r="L33" s="2" t="s">
        <v>147</v>
      </c>
      <c r="M33" s="2" t="s">
        <v>148</v>
      </c>
    </row>
    <row r="34" spans="1:13" x14ac:dyDescent="0.35">
      <c r="A34" s="2" t="s">
        <v>165</v>
      </c>
      <c r="B34" s="2" t="s">
        <v>14</v>
      </c>
      <c r="C34" s="2" t="s">
        <v>166</v>
      </c>
      <c r="D34" s="2" t="s">
        <v>167</v>
      </c>
      <c r="E34" s="2" t="s">
        <v>168</v>
      </c>
      <c r="F34" s="3">
        <f>IFERROR(AVERAGEIFS('Chi tiết'!$I$2:$I$349,'Chi tiết'!$A$2:$A$349,A34,'Chi tiết'!$F$2:$F$349,"r2"),"")</f>
        <v>-3.5553666666666671E-2</v>
      </c>
      <c r="G34" s="3">
        <f>IFERROR(AVERAGEIFS('Chi tiết'!$I$2:$I$349,'Chi tiết'!$A$2:$A$349,A34,'Chi tiết'!$F$2:$F$349,"areaUnderROC"),"")</f>
        <v>-3.1737666666666629E-2</v>
      </c>
      <c r="H34" s="3">
        <f>IFERROR(AVERAGEIFS('Chi tiết'!$I$2:$I$349,'Chi tiết'!$A$2:$A$349,A34,'Chi tiết'!$F$2:$F$349,"areaUnderPR"),"")</f>
        <v>-4.5124666666666591E-2</v>
      </c>
      <c r="I34" s="3">
        <f>_xlfn.MINIFS('Chi tiết'!$I$2:$I$349,'Chi tiết'!$A$2:$A$349,A34)</f>
        <v>-7.2059999999999902E-2</v>
      </c>
      <c r="J34" s="3">
        <f>_xlfn.MAXIFS('Chi tiết'!$I$2:$I$349,'Chi tiết'!$A$2:$A$349,A34)</f>
        <v>1.6270000000000451E-3</v>
      </c>
      <c r="K34" s="2" t="s">
        <v>169</v>
      </c>
      <c r="L34" s="2" t="s">
        <v>170</v>
      </c>
      <c r="M34" s="2" t="s">
        <v>89</v>
      </c>
    </row>
    <row r="35" spans="1:13" ht="28" x14ac:dyDescent="0.35">
      <c r="A35" s="2" t="s">
        <v>171</v>
      </c>
      <c r="B35" s="2" t="s">
        <v>14</v>
      </c>
      <c r="C35" s="2" t="s">
        <v>172</v>
      </c>
      <c r="D35" s="2" t="s">
        <v>167</v>
      </c>
      <c r="E35" s="2" t="s">
        <v>173</v>
      </c>
      <c r="F35" s="3">
        <f>IFERROR(AVERAGEIFS('Chi tiết'!$I$2:$I$349,'Chi tiết'!$A$2:$A$349,A35,'Chi tiết'!$F$2:$F$349,"r2"),"")</f>
        <v>-1.111733333333334E-2</v>
      </c>
      <c r="G35" s="3">
        <f>IFERROR(AVERAGEIFS('Chi tiết'!$I$2:$I$349,'Chi tiết'!$A$2:$A$349,A35,'Chi tiết'!$F$2:$F$349,"areaUnderROC"),"")</f>
        <v>-1.4135000000000009E-2</v>
      </c>
      <c r="H35" s="3">
        <f>IFERROR(AVERAGEIFS('Chi tiết'!$I$2:$I$349,'Chi tiết'!$A$2:$A$349,A35,'Chi tiết'!$F$2:$F$349,"areaUnderPR"),"")</f>
        <v>-2.2303666666666611E-2</v>
      </c>
      <c r="I35" s="3">
        <f>_xlfn.MINIFS('Chi tiết'!$I$2:$I$349,'Chi tiết'!$A$2:$A$349,A35)</f>
        <v>-4.2042999999999942E-2</v>
      </c>
      <c r="J35" s="3">
        <f>_xlfn.MAXIFS('Chi tiết'!$I$2:$I$349,'Chi tiết'!$A$2:$A$349,A35)</f>
        <v>1.5059000000000045E-2</v>
      </c>
      <c r="K35" s="2" t="s">
        <v>174</v>
      </c>
      <c r="L35" s="2" t="s">
        <v>170</v>
      </c>
      <c r="M35" s="2" t="s">
        <v>89</v>
      </c>
    </row>
    <row r="36" spans="1:13" ht="42" x14ac:dyDescent="0.3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3">
        <f>IFERROR(AVERAGEIFS('Chi tiết'!$I$2:$I$349,'Chi tiết'!$A$2:$A$349,A36,'Chi tiết'!$F$2:$F$349,"r2"),"")</f>
        <v>7.6476666666666637E-3</v>
      </c>
      <c r="G36" s="3">
        <f>IFERROR(AVERAGEIFS('Chi tiết'!$I$2:$I$349,'Chi tiết'!$A$2:$A$349,A36,'Chi tiết'!$F$2:$F$349,"areaUnderROC"),"")</f>
        <v>1.2350000000000232E-3</v>
      </c>
      <c r="H36" s="3">
        <f>IFERROR(AVERAGEIFS('Chi tiết'!$I$2:$I$349,'Chi tiết'!$A$2:$A$349,A36,'Chi tiết'!$F$2:$F$349,"areaUnderPR"),"")</f>
        <v>1.1046333333333344E-2</v>
      </c>
      <c r="I36" s="3">
        <f>_xlfn.MINIFS('Chi tiết'!$I$2:$I$349,'Chi tiết'!$A$2:$A$349,A36)</f>
        <v>-1.5789999999999971E-3</v>
      </c>
      <c r="J36" s="3">
        <f>_xlfn.MAXIFS('Chi tiết'!$I$2:$I$349,'Chi tiết'!$A$2:$A$349,A36)</f>
        <v>2.8710000000000013E-2</v>
      </c>
      <c r="K36" s="2" t="s">
        <v>180</v>
      </c>
      <c r="L36" s="2" t="s">
        <v>181</v>
      </c>
      <c r="M36" s="2" t="s">
        <v>148</v>
      </c>
    </row>
    <row r="37" spans="1:13" ht="28" x14ac:dyDescent="0.35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3">
        <f>IFERROR(AVERAGEIFS('Chi tiết'!$I$2:$I$349,'Chi tiết'!$A$2:$A$349,A37,'Chi tiết'!$F$2:$F$349,"r2"),"")</f>
        <v>2.4593333333333134E-3</v>
      </c>
      <c r="G37" s="3">
        <f>IFERROR(AVERAGEIFS('Chi tiết'!$I$2:$I$349,'Chi tiết'!$A$2:$A$349,A37,'Chi tiết'!$F$2:$F$349,"areaUnderROC"),"")</f>
        <v>-4.3333333333099118E-6</v>
      </c>
      <c r="H37" s="3">
        <f>IFERROR(AVERAGEIFS('Chi tiết'!$I$2:$I$349,'Chi tiết'!$A$2:$A$349,A37,'Chi tiết'!$F$2:$F$349,"areaUnderPR"),"")</f>
        <v>1.1400000000002149E-4</v>
      </c>
      <c r="I37" s="3">
        <f>_xlfn.MINIFS('Chi tiết'!$I$2:$I$349,'Chi tiết'!$A$2:$A$349,A37)</f>
        <v>-8.0000000000080007E-6</v>
      </c>
      <c r="J37" s="3">
        <f>_xlfn.MAXIFS('Chi tiết'!$I$2:$I$349,'Chi tiết'!$A$2:$A$349,A37)</f>
        <v>4.573999999999967E-3</v>
      </c>
      <c r="K37" s="2" t="s">
        <v>187</v>
      </c>
      <c r="L37" s="2" t="s">
        <v>188</v>
      </c>
      <c r="M37" s="2" t="s">
        <v>148</v>
      </c>
    </row>
    <row r="38" spans="1:13" x14ac:dyDescent="0.35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24</v>
      </c>
      <c r="F38" s="3">
        <f>IFERROR(AVERAGEIFS('Chi tiết'!$I$2:$I$349,'Chi tiết'!$A$2:$A$349,A38,'Chi tiết'!$F$2:$F$349,"r2"),"")</f>
        <v>-3.1303333333333329E-2</v>
      </c>
      <c r="G38" s="3" t="str">
        <f>IFERROR(AVERAGEIFS('Chi tiết'!$I$2:$I$349,'Chi tiết'!$A$2:$A$349,A38,'Chi tiết'!$F$2:$F$349,"areaUnderROC"),"")</f>
        <v/>
      </c>
      <c r="H38" s="3" t="str">
        <f>IFERROR(AVERAGEIFS('Chi tiết'!$I$2:$I$349,'Chi tiết'!$A$2:$A$349,A38,'Chi tiết'!$F$2:$F$349,"areaUnderPR"),"")</f>
        <v/>
      </c>
      <c r="I38" s="3">
        <f>_xlfn.MINIFS('Chi tiết'!$I$2:$I$349,'Chi tiết'!$A$2:$A$349,A38)</f>
        <v>-6.4641000000000004E-2</v>
      </c>
      <c r="J38" s="3">
        <f>_xlfn.MAXIFS('Chi tiết'!$I$2:$I$349,'Chi tiết'!$A$2:$A$349,A38)</f>
        <v>-9.099999999999997E-3</v>
      </c>
      <c r="K38" s="2" t="s">
        <v>193</v>
      </c>
      <c r="L38" s="2" t="s">
        <v>194</v>
      </c>
      <c r="M38" s="2" t="s">
        <v>148</v>
      </c>
    </row>
    <row r="39" spans="1:13" x14ac:dyDescent="0.35">
      <c r="A39" s="2" t="s">
        <v>195</v>
      </c>
      <c r="B39" s="2" t="s">
        <v>190</v>
      </c>
      <c r="C39" s="2" t="s">
        <v>196</v>
      </c>
      <c r="D39" s="2" t="s">
        <v>197</v>
      </c>
      <c r="E39" s="2" t="s">
        <v>24</v>
      </c>
      <c r="F39" s="3">
        <f>IFERROR(AVERAGEIFS('Chi tiết'!$I$2:$I$349,'Chi tiết'!$A$2:$A$349,A39,'Chi tiết'!$F$2:$F$349,"r2"),"")</f>
        <v>7.7336666666666942E-3</v>
      </c>
      <c r="G39" s="3" t="str">
        <f>IFERROR(AVERAGEIFS('Chi tiết'!$I$2:$I$349,'Chi tiết'!$A$2:$A$349,A39,'Chi tiết'!$F$2:$F$349,"areaUnderROC"),"")</f>
        <v/>
      </c>
      <c r="H39" s="3" t="str">
        <f>IFERROR(AVERAGEIFS('Chi tiết'!$I$2:$I$349,'Chi tiết'!$A$2:$A$349,A39,'Chi tiết'!$F$2:$F$349,"areaUnderPR"),"")</f>
        <v/>
      </c>
      <c r="I39" s="3">
        <f>_xlfn.MINIFS('Chi tiết'!$I$2:$I$349,'Chi tiết'!$A$2:$A$349,A39)</f>
        <v>-1.2079999999999869E-3</v>
      </c>
      <c r="J39" s="3">
        <f>_xlfn.MAXIFS('Chi tiết'!$I$2:$I$349,'Chi tiết'!$A$2:$A$349,A39)</f>
        <v>2.4136000000000046E-2</v>
      </c>
      <c r="K39" s="2" t="s">
        <v>198</v>
      </c>
      <c r="L39" s="2" t="s">
        <v>194</v>
      </c>
      <c r="M39" s="2" t="s">
        <v>148</v>
      </c>
    </row>
    <row r="40" spans="1:13" ht="28" x14ac:dyDescent="0.35">
      <c r="A40" s="2" t="s">
        <v>199</v>
      </c>
      <c r="B40" s="2" t="s">
        <v>190</v>
      </c>
      <c r="C40" s="2" t="s">
        <v>200</v>
      </c>
      <c r="D40" s="2" t="s">
        <v>201</v>
      </c>
      <c r="E40" s="2" t="s">
        <v>168</v>
      </c>
      <c r="F40" s="3">
        <f>IFERROR(AVERAGEIFS('Chi tiết'!$I$2:$I$349,'Chi tiết'!$A$2:$A$349,A40,'Chi tiết'!$F$2:$F$349,"r2"),"")</f>
        <v>4.6699999999997671E-4</v>
      </c>
      <c r="G40" s="3" t="str">
        <f>IFERROR(AVERAGEIFS('Chi tiết'!$I$2:$I$349,'Chi tiết'!$A$2:$A$349,A40,'Chi tiết'!$F$2:$F$349,"areaUnderROC"),"")</f>
        <v/>
      </c>
      <c r="H40" s="3" t="str">
        <f>IFERROR(AVERAGEIFS('Chi tiết'!$I$2:$I$349,'Chi tiết'!$A$2:$A$349,A40,'Chi tiết'!$F$2:$F$349,"areaUnderPR"),"")</f>
        <v/>
      </c>
      <c r="I40" s="3">
        <f>_xlfn.MINIFS('Chi tiết'!$I$2:$I$349,'Chi tiết'!$A$2:$A$349,A40)</f>
        <v>-2.8000000000028002E-5</v>
      </c>
      <c r="J40" s="3">
        <f>_xlfn.MAXIFS('Chi tiết'!$I$2:$I$349,'Chi tiết'!$A$2:$A$349,A40)</f>
        <v>9.3299999999996164E-4</v>
      </c>
      <c r="K40" s="2" t="s">
        <v>57</v>
      </c>
      <c r="L40" s="2" t="s">
        <v>202</v>
      </c>
      <c r="M40" s="2" t="s">
        <v>148</v>
      </c>
    </row>
    <row r="41" spans="1:13" ht="28" x14ac:dyDescent="0.35">
      <c r="A41" s="2" t="s">
        <v>203</v>
      </c>
      <c r="B41" s="2" t="s">
        <v>190</v>
      </c>
      <c r="C41" s="2" t="s">
        <v>204</v>
      </c>
      <c r="D41" s="2" t="s">
        <v>205</v>
      </c>
      <c r="E41" s="2" t="s">
        <v>24</v>
      </c>
      <c r="F41" s="3">
        <f>IFERROR(AVERAGEIFS('Chi tiết'!$I$2:$I$349,'Chi tiết'!$A$2:$A$349,A41,'Chi tiết'!$F$2:$F$349,"r2"),"")</f>
        <v>1.1037333333333324E-2</v>
      </c>
      <c r="G41" s="3" t="str">
        <f>IFERROR(AVERAGEIFS('Chi tiết'!$I$2:$I$349,'Chi tiết'!$A$2:$A$349,A41,'Chi tiết'!$F$2:$F$349,"areaUnderROC"),"")</f>
        <v/>
      </c>
      <c r="H41" s="3" t="str">
        <f>IFERROR(AVERAGEIFS('Chi tiết'!$I$2:$I$349,'Chi tiết'!$A$2:$A$349,A41,'Chi tiết'!$F$2:$F$349,"areaUnderPR"),"")</f>
        <v/>
      </c>
      <c r="I41" s="3">
        <f>_xlfn.MINIFS('Chi tiết'!$I$2:$I$349,'Chi tiết'!$A$2:$A$349,A41)</f>
        <v>5.9139999999999748E-3</v>
      </c>
      <c r="J41" s="3">
        <f>_xlfn.MAXIFS('Chi tiết'!$I$2:$I$349,'Chi tiết'!$A$2:$A$349,A41)</f>
        <v>1.649299999999998E-2</v>
      </c>
      <c r="K41" s="2" t="s">
        <v>206</v>
      </c>
      <c r="L41" s="2" t="s">
        <v>202</v>
      </c>
      <c r="M41" s="2" t="s">
        <v>148</v>
      </c>
    </row>
    <row r="42" spans="1:13" ht="28" x14ac:dyDescent="0.35">
      <c r="A42" s="2" t="s">
        <v>207</v>
      </c>
      <c r="B42" s="2" t="s">
        <v>190</v>
      </c>
      <c r="C42" s="2" t="s">
        <v>208</v>
      </c>
      <c r="D42" s="2" t="s">
        <v>209</v>
      </c>
      <c r="E42" s="2" t="s">
        <v>24</v>
      </c>
      <c r="F42" s="3">
        <f>IFERROR(AVERAGEIFS('Chi tiết'!$I$2:$I$349,'Chi tiết'!$A$2:$A$349,A42,'Chi tiết'!$F$2:$F$349,"r2"),"")</f>
        <v>-2.3186666666666724E-3</v>
      </c>
      <c r="G42" s="3" t="str">
        <f>IFERROR(AVERAGEIFS('Chi tiết'!$I$2:$I$349,'Chi tiết'!$A$2:$A$349,A42,'Chi tiết'!$F$2:$F$349,"areaUnderROC"),"")</f>
        <v/>
      </c>
      <c r="H42" s="3" t="str">
        <f>IFERROR(AVERAGEIFS('Chi tiết'!$I$2:$I$349,'Chi tiết'!$A$2:$A$349,A42,'Chi tiết'!$F$2:$F$349,"areaUnderPR"),"")</f>
        <v/>
      </c>
      <c r="I42" s="3">
        <f>_xlfn.MINIFS('Chi tiết'!$I$2:$I$349,'Chi tiết'!$A$2:$A$349,A42)</f>
        <v>-5.6530000000000191E-3</v>
      </c>
      <c r="J42" s="3">
        <f>_xlfn.MAXIFS('Chi tiết'!$I$2:$I$349,'Chi tiết'!$A$2:$A$349,A42)</f>
        <v>0</v>
      </c>
      <c r="K42" s="2" t="s">
        <v>210</v>
      </c>
      <c r="L42" s="2" t="s">
        <v>211</v>
      </c>
      <c r="M42" s="2" t="s">
        <v>148</v>
      </c>
    </row>
    <row r="43" spans="1:13" x14ac:dyDescent="0.35">
      <c r="A43" s="2" t="s">
        <v>212</v>
      </c>
      <c r="B43" s="2" t="s">
        <v>190</v>
      </c>
      <c r="C43" s="2" t="s">
        <v>213</v>
      </c>
      <c r="D43" s="2" t="s">
        <v>214</v>
      </c>
      <c r="E43" s="2" t="s">
        <v>24</v>
      </c>
      <c r="F43" s="3">
        <f>IFERROR(AVERAGEIFS('Chi tiết'!$I$2:$I$349,'Chi tiết'!$A$2:$A$349,A43,'Chi tiết'!$F$2:$F$349,"r2"),"")</f>
        <v>-1.0570333333333348E-2</v>
      </c>
      <c r="G43" s="3" t="str">
        <f>IFERROR(AVERAGEIFS('Chi tiết'!$I$2:$I$349,'Chi tiết'!$A$2:$A$349,A43,'Chi tiết'!$F$2:$F$349,"areaUnderROC"),"")</f>
        <v/>
      </c>
      <c r="H43" s="3" t="str">
        <f>IFERROR(AVERAGEIFS('Chi tiết'!$I$2:$I$349,'Chi tiết'!$A$2:$A$349,A43,'Chi tiết'!$F$2:$F$349,"areaUnderPR"),"")</f>
        <v/>
      </c>
      <c r="I43" s="3">
        <f>_xlfn.MINIFS('Chi tiết'!$I$2:$I$349,'Chi tiết'!$A$2:$A$349,A43)</f>
        <v>-1.5560000000000018E-2</v>
      </c>
      <c r="J43" s="3">
        <f>_xlfn.MAXIFS('Chi tiết'!$I$2:$I$349,'Chi tiết'!$A$2:$A$349,A43)</f>
        <v>-5.4179999999999784E-3</v>
      </c>
      <c r="K43" s="2" t="s">
        <v>215</v>
      </c>
      <c r="L43" s="2" t="s">
        <v>211</v>
      </c>
      <c r="M43" s="2" t="s">
        <v>148</v>
      </c>
    </row>
    <row r="44" spans="1:13" ht="28" x14ac:dyDescent="0.35">
      <c r="A44" s="2" t="s">
        <v>216</v>
      </c>
      <c r="B44" s="2" t="s">
        <v>190</v>
      </c>
      <c r="C44" s="2" t="s">
        <v>217</v>
      </c>
      <c r="D44" s="2" t="s">
        <v>218</v>
      </c>
      <c r="E44" s="2" t="s">
        <v>219</v>
      </c>
      <c r="F44" s="3">
        <f>IFERROR(AVERAGEIFS('Chi tiết'!$I$2:$I$349,'Chi tiết'!$A$2:$A$349,A44,'Chi tiết'!$F$2:$F$349,"r2"),"")</f>
        <v>-4.2633333333334339E-4</v>
      </c>
      <c r="G44" s="3" t="str">
        <f>IFERROR(AVERAGEIFS('Chi tiết'!$I$2:$I$349,'Chi tiết'!$A$2:$A$349,A44,'Chi tiết'!$F$2:$F$349,"areaUnderROC"),"")</f>
        <v/>
      </c>
      <c r="H44" s="3" t="str">
        <f>IFERROR(AVERAGEIFS('Chi tiết'!$I$2:$I$349,'Chi tiết'!$A$2:$A$349,A44,'Chi tiết'!$F$2:$F$349,"areaUnderPR"),"")</f>
        <v/>
      </c>
      <c r="I44" s="3">
        <f>_xlfn.MINIFS('Chi tiết'!$I$2:$I$349,'Chi tiết'!$A$2:$A$349,A44)</f>
        <v>-8.0900000000000416E-4</v>
      </c>
      <c r="J44" s="3">
        <f>_xlfn.MAXIFS('Chi tiết'!$I$2:$I$349,'Chi tiết'!$A$2:$A$349,A44)</f>
        <v>-1.2000000000012001E-5</v>
      </c>
      <c r="K44" s="2" t="s">
        <v>220</v>
      </c>
      <c r="L44" s="2" t="s">
        <v>221</v>
      </c>
      <c r="M44" s="2" t="s">
        <v>148</v>
      </c>
    </row>
    <row r="45" spans="1:13" ht="42" x14ac:dyDescent="0.35">
      <c r="A45" s="2" t="s">
        <v>222</v>
      </c>
      <c r="B45" s="2" t="s">
        <v>190</v>
      </c>
      <c r="C45" s="2" t="s">
        <v>223</v>
      </c>
      <c r="D45" s="2" t="s">
        <v>218</v>
      </c>
      <c r="E45" s="2" t="s">
        <v>17</v>
      </c>
      <c r="F45" s="3">
        <f>IFERROR(AVERAGEIFS('Chi tiết'!$I$2:$I$349,'Chi tiết'!$A$2:$A$349,A45,'Chi tiết'!$F$2:$F$349,"r2"),"")</f>
        <v>8.4799999999997844E-4</v>
      </c>
      <c r="G45" s="3" t="str">
        <f>IFERROR(AVERAGEIFS('Chi tiết'!$I$2:$I$349,'Chi tiết'!$A$2:$A$349,A45,'Chi tiết'!$F$2:$F$349,"areaUnderROC"),"")</f>
        <v/>
      </c>
      <c r="H45" s="3" t="str">
        <f>IFERROR(AVERAGEIFS('Chi tiết'!$I$2:$I$349,'Chi tiết'!$A$2:$A$349,A45,'Chi tiết'!$F$2:$F$349,"areaUnderPR"),"")</f>
        <v/>
      </c>
      <c r="I45" s="3">
        <f>_xlfn.MINIFS('Chi tiết'!$I$2:$I$349,'Chi tiết'!$A$2:$A$349,A45)</f>
        <v>-2.1300000000001873E-4</v>
      </c>
      <c r="J45" s="3">
        <f>_xlfn.MAXIFS('Chi tiết'!$I$2:$I$349,'Chi tiết'!$A$2:$A$349,A45)</f>
        <v>2.4819999999999842E-3</v>
      </c>
      <c r="K45" s="2" t="s">
        <v>224</v>
      </c>
      <c r="L45" s="2" t="s">
        <v>221</v>
      </c>
      <c r="M45" s="2" t="s">
        <v>148</v>
      </c>
    </row>
  </sheetData>
  <autoFilter ref="A1:M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5" width="26" customWidth="1"/>
    <col min="6" max="6" width="14" customWidth="1"/>
    <col min="7" max="8" width="12" customWidth="1"/>
    <col min="9" max="9" width="16" customWidth="1"/>
  </cols>
  <sheetData>
    <row r="1" spans="1:9" ht="28" x14ac:dyDescent="0.3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35">
      <c r="A2" s="2" t="s">
        <v>13</v>
      </c>
      <c r="B2" s="2" t="s">
        <v>19</v>
      </c>
      <c r="C2" s="2" t="s">
        <v>233</v>
      </c>
      <c r="D2" s="2" t="s">
        <v>19</v>
      </c>
      <c r="E2" s="2" t="s">
        <v>234</v>
      </c>
      <c r="F2" s="2" t="s">
        <v>235</v>
      </c>
      <c r="G2" s="4">
        <v>1.8089999999999998E-2</v>
      </c>
      <c r="H2" s="4">
        <v>1.7899000000000002E-2</v>
      </c>
      <c r="I2" s="3">
        <f t="shared" ref="I2:I65" si="0">H2-G2</f>
        <v>-1.9099999999999673E-4</v>
      </c>
    </row>
    <row r="3" spans="1:9" x14ac:dyDescent="0.35">
      <c r="A3" s="2" t="s">
        <v>13</v>
      </c>
      <c r="B3" s="2" t="s">
        <v>19</v>
      </c>
      <c r="C3" s="2" t="s">
        <v>233</v>
      </c>
      <c r="D3" s="2" t="s">
        <v>19</v>
      </c>
      <c r="E3" s="2" t="s">
        <v>236</v>
      </c>
      <c r="F3" s="2" t="s">
        <v>235</v>
      </c>
      <c r="G3" s="4">
        <v>1.6056000000000001E-2</v>
      </c>
      <c r="H3" s="4">
        <v>1.6299999999999999E-2</v>
      </c>
      <c r="I3" s="3">
        <f t="shared" si="0"/>
        <v>2.4399999999999769E-4</v>
      </c>
    </row>
    <row r="4" spans="1:9" x14ac:dyDescent="0.35">
      <c r="A4" s="2" t="s">
        <v>13</v>
      </c>
      <c r="B4" s="2" t="s">
        <v>19</v>
      </c>
      <c r="C4" s="2" t="s">
        <v>233</v>
      </c>
      <c r="D4" s="2" t="s">
        <v>19</v>
      </c>
      <c r="E4" s="2" t="s">
        <v>237</v>
      </c>
      <c r="F4" s="2" t="s">
        <v>235</v>
      </c>
      <c r="G4" s="4">
        <v>5.4999999999999997E-3</v>
      </c>
      <c r="H4" s="4">
        <v>2.2296E-2</v>
      </c>
      <c r="I4" s="3">
        <f t="shared" si="0"/>
        <v>1.6795999999999998E-2</v>
      </c>
    </row>
    <row r="5" spans="1:9" ht="28" x14ac:dyDescent="0.35">
      <c r="A5" s="2" t="s">
        <v>13</v>
      </c>
      <c r="B5" s="2" t="s">
        <v>19</v>
      </c>
      <c r="C5" s="2" t="s">
        <v>233</v>
      </c>
      <c r="D5" s="2" t="s">
        <v>19</v>
      </c>
      <c r="E5" s="2" t="s">
        <v>238</v>
      </c>
      <c r="F5" s="2" t="s">
        <v>239</v>
      </c>
      <c r="G5" s="4">
        <v>0.63741999999999999</v>
      </c>
      <c r="H5" s="4">
        <v>0.63459600000000005</v>
      </c>
      <c r="I5" s="3">
        <f t="shared" si="0"/>
        <v>-2.8239999999999377E-3</v>
      </c>
    </row>
    <row r="6" spans="1:9" x14ac:dyDescent="0.35">
      <c r="A6" s="2" t="s">
        <v>13</v>
      </c>
      <c r="B6" s="2" t="s">
        <v>19</v>
      </c>
      <c r="C6" s="2" t="s">
        <v>233</v>
      </c>
      <c r="D6" s="2" t="s">
        <v>19</v>
      </c>
      <c r="E6" s="2" t="s">
        <v>238</v>
      </c>
      <c r="F6" s="2" t="s">
        <v>240</v>
      </c>
      <c r="G6" s="4">
        <v>0.17575099999999999</v>
      </c>
      <c r="H6" s="4">
        <v>0.17211399999999999</v>
      </c>
      <c r="I6" s="3">
        <f t="shared" si="0"/>
        <v>-3.6370000000000013E-3</v>
      </c>
    </row>
    <row r="7" spans="1:9" ht="28" x14ac:dyDescent="0.35">
      <c r="A7" s="2" t="s">
        <v>13</v>
      </c>
      <c r="B7" s="2" t="s">
        <v>19</v>
      </c>
      <c r="C7" s="2" t="s">
        <v>233</v>
      </c>
      <c r="D7" s="2" t="s">
        <v>19</v>
      </c>
      <c r="E7" s="2" t="s">
        <v>241</v>
      </c>
      <c r="F7" s="2" t="s">
        <v>239</v>
      </c>
      <c r="G7" s="4">
        <v>0.63796600000000003</v>
      </c>
      <c r="H7" s="4">
        <v>0.64122400000000002</v>
      </c>
      <c r="I7" s="3">
        <f t="shared" si="0"/>
        <v>3.2579999999999831E-3</v>
      </c>
    </row>
    <row r="8" spans="1:9" x14ac:dyDescent="0.35">
      <c r="A8" s="2" t="s">
        <v>13</v>
      </c>
      <c r="B8" s="2" t="s">
        <v>19</v>
      </c>
      <c r="C8" s="2" t="s">
        <v>233</v>
      </c>
      <c r="D8" s="2" t="s">
        <v>19</v>
      </c>
      <c r="E8" s="2" t="s">
        <v>241</v>
      </c>
      <c r="F8" s="2" t="s">
        <v>240</v>
      </c>
      <c r="G8" s="4">
        <v>0.16984199999999999</v>
      </c>
      <c r="H8" s="4">
        <v>0.17463699999999999</v>
      </c>
      <c r="I8" s="3">
        <f t="shared" si="0"/>
        <v>4.7949999999999937E-3</v>
      </c>
    </row>
    <row r="9" spans="1:9" ht="28" x14ac:dyDescent="0.35">
      <c r="A9" s="2" t="s">
        <v>13</v>
      </c>
      <c r="B9" s="2" t="s">
        <v>19</v>
      </c>
      <c r="C9" s="2" t="s">
        <v>233</v>
      </c>
      <c r="D9" s="2" t="s">
        <v>19</v>
      </c>
      <c r="E9" s="2" t="s">
        <v>242</v>
      </c>
      <c r="F9" s="2" t="s">
        <v>239</v>
      </c>
      <c r="G9" s="4">
        <v>0.65610599999999997</v>
      </c>
      <c r="H9" s="4">
        <v>0.65364299999999997</v>
      </c>
      <c r="I9" s="3">
        <f t="shared" si="0"/>
        <v>-2.462999999999993E-3</v>
      </c>
    </row>
    <row r="10" spans="1:9" x14ac:dyDescent="0.35">
      <c r="A10" s="2" t="s">
        <v>13</v>
      </c>
      <c r="B10" s="2" t="s">
        <v>19</v>
      </c>
      <c r="C10" s="2" t="s">
        <v>233</v>
      </c>
      <c r="D10" s="2" t="s">
        <v>19</v>
      </c>
      <c r="E10" s="2" t="s">
        <v>242</v>
      </c>
      <c r="F10" s="2" t="s">
        <v>240</v>
      </c>
      <c r="G10" s="4">
        <v>0.18690200000000001</v>
      </c>
      <c r="H10" s="4">
        <v>0.18337600000000001</v>
      </c>
      <c r="I10" s="3">
        <f t="shared" si="0"/>
        <v>-3.5260000000000014E-3</v>
      </c>
    </row>
    <row r="11" spans="1:9" x14ac:dyDescent="0.35">
      <c r="A11" s="2" t="s">
        <v>21</v>
      </c>
      <c r="B11" s="2" t="s">
        <v>26</v>
      </c>
      <c r="C11" s="2" t="s">
        <v>233</v>
      </c>
      <c r="D11" s="2" t="s">
        <v>26</v>
      </c>
      <c r="E11" s="2" t="s">
        <v>234</v>
      </c>
      <c r="F11" s="2" t="s">
        <v>235</v>
      </c>
      <c r="G11" s="4">
        <v>1.8089999999999998E-2</v>
      </c>
      <c r="H11" s="4">
        <v>2.5191999999999999E-2</v>
      </c>
      <c r="I11" s="3">
        <f t="shared" si="0"/>
        <v>7.1020000000000007E-3</v>
      </c>
    </row>
    <row r="12" spans="1:9" x14ac:dyDescent="0.35">
      <c r="A12" s="2" t="s">
        <v>21</v>
      </c>
      <c r="B12" s="2" t="s">
        <v>26</v>
      </c>
      <c r="C12" s="2" t="s">
        <v>233</v>
      </c>
      <c r="D12" s="2" t="s">
        <v>26</v>
      </c>
      <c r="E12" s="2" t="s">
        <v>236</v>
      </c>
      <c r="F12" s="2" t="s">
        <v>235</v>
      </c>
      <c r="G12" s="4">
        <v>1.6056000000000001E-2</v>
      </c>
      <c r="H12" s="4">
        <v>5.4732999999999997E-2</v>
      </c>
      <c r="I12" s="3">
        <f t="shared" si="0"/>
        <v>3.8676999999999996E-2</v>
      </c>
    </row>
    <row r="13" spans="1:9" x14ac:dyDescent="0.35">
      <c r="A13" s="2" t="s">
        <v>21</v>
      </c>
      <c r="B13" s="2" t="s">
        <v>26</v>
      </c>
      <c r="C13" s="2" t="s">
        <v>233</v>
      </c>
      <c r="D13" s="2" t="s">
        <v>26</v>
      </c>
      <c r="E13" s="2" t="s">
        <v>237</v>
      </c>
      <c r="F13" s="2" t="s">
        <v>235</v>
      </c>
      <c r="G13" s="4">
        <v>5.4999999999999997E-3</v>
      </c>
      <c r="H13" s="4">
        <v>5.5019999999999999E-2</v>
      </c>
      <c r="I13" s="3">
        <f t="shared" si="0"/>
        <v>4.9520000000000002E-2</v>
      </c>
    </row>
    <row r="14" spans="1:9" ht="28" x14ac:dyDescent="0.35">
      <c r="A14" s="2" t="s">
        <v>21</v>
      </c>
      <c r="B14" s="2" t="s">
        <v>26</v>
      </c>
      <c r="C14" s="2" t="s">
        <v>233</v>
      </c>
      <c r="D14" s="2" t="s">
        <v>26</v>
      </c>
      <c r="E14" s="2" t="s">
        <v>238</v>
      </c>
      <c r="F14" s="2" t="s">
        <v>239</v>
      </c>
      <c r="G14" s="4">
        <v>0.63741999999999999</v>
      </c>
      <c r="H14" s="4">
        <v>0.64579699999999995</v>
      </c>
      <c r="I14" s="3">
        <f t="shared" si="0"/>
        <v>8.3769999999999678E-3</v>
      </c>
    </row>
    <row r="15" spans="1:9" x14ac:dyDescent="0.35">
      <c r="A15" s="2" t="s">
        <v>21</v>
      </c>
      <c r="B15" s="2" t="s">
        <v>26</v>
      </c>
      <c r="C15" s="2" t="s">
        <v>233</v>
      </c>
      <c r="D15" s="2" t="s">
        <v>26</v>
      </c>
      <c r="E15" s="2" t="s">
        <v>238</v>
      </c>
      <c r="F15" s="2" t="s">
        <v>240</v>
      </c>
      <c r="G15" s="4">
        <v>0.17575099999999999</v>
      </c>
      <c r="H15" s="4">
        <v>0.18444099999999999</v>
      </c>
      <c r="I15" s="3">
        <f t="shared" si="0"/>
        <v>8.6900000000000033E-3</v>
      </c>
    </row>
    <row r="16" spans="1:9" ht="28" x14ac:dyDescent="0.35">
      <c r="A16" s="2" t="s">
        <v>21</v>
      </c>
      <c r="B16" s="2" t="s">
        <v>26</v>
      </c>
      <c r="C16" s="2" t="s">
        <v>233</v>
      </c>
      <c r="D16" s="2" t="s">
        <v>26</v>
      </c>
      <c r="E16" s="2" t="s">
        <v>241</v>
      </c>
      <c r="F16" s="2" t="s">
        <v>239</v>
      </c>
      <c r="G16" s="4">
        <v>0.63796600000000003</v>
      </c>
      <c r="H16" s="4">
        <v>0.67225000000000001</v>
      </c>
      <c r="I16" s="3">
        <f t="shared" si="0"/>
        <v>3.4283999999999981E-2</v>
      </c>
    </row>
    <row r="17" spans="1:9" x14ac:dyDescent="0.35">
      <c r="A17" s="2" t="s">
        <v>21</v>
      </c>
      <c r="B17" s="2" t="s">
        <v>26</v>
      </c>
      <c r="C17" s="2" t="s">
        <v>233</v>
      </c>
      <c r="D17" s="2" t="s">
        <v>26</v>
      </c>
      <c r="E17" s="2" t="s">
        <v>241</v>
      </c>
      <c r="F17" s="2" t="s">
        <v>240</v>
      </c>
      <c r="G17" s="4">
        <v>0.16984199999999999</v>
      </c>
      <c r="H17" s="4">
        <v>0.248747</v>
      </c>
      <c r="I17" s="3">
        <f t="shared" si="0"/>
        <v>7.8905000000000003E-2</v>
      </c>
    </row>
    <row r="18" spans="1:9" ht="28" x14ac:dyDescent="0.35">
      <c r="A18" s="2" t="s">
        <v>21</v>
      </c>
      <c r="B18" s="2" t="s">
        <v>26</v>
      </c>
      <c r="C18" s="2" t="s">
        <v>233</v>
      </c>
      <c r="D18" s="2" t="s">
        <v>26</v>
      </c>
      <c r="E18" s="2" t="s">
        <v>242</v>
      </c>
      <c r="F18" s="2" t="s">
        <v>239</v>
      </c>
      <c r="G18" s="4">
        <v>0.65610599999999997</v>
      </c>
      <c r="H18" s="4">
        <v>0.68498099999999995</v>
      </c>
      <c r="I18" s="3">
        <f t="shared" si="0"/>
        <v>2.8874999999999984E-2</v>
      </c>
    </row>
    <row r="19" spans="1:9" x14ac:dyDescent="0.35">
      <c r="A19" s="2" t="s">
        <v>21</v>
      </c>
      <c r="B19" s="2" t="s">
        <v>26</v>
      </c>
      <c r="C19" s="2" t="s">
        <v>233</v>
      </c>
      <c r="D19" s="2" t="s">
        <v>26</v>
      </c>
      <c r="E19" s="2" t="s">
        <v>242</v>
      </c>
      <c r="F19" s="2" t="s">
        <v>240</v>
      </c>
      <c r="G19" s="4">
        <v>0.18690200000000001</v>
      </c>
      <c r="H19" s="4">
        <v>0.26935999999999999</v>
      </c>
      <c r="I19" s="3">
        <f t="shared" si="0"/>
        <v>8.2457999999999976E-2</v>
      </c>
    </row>
    <row r="20" spans="1:9" ht="28" x14ac:dyDescent="0.35">
      <c r="A20" s="2" t="s">
        <v>27</v>
      </c>
      <c r="B20" s="2" t="s">
        <v>32</v>
      </c>
      <c r="C20" s="2" t="s">
        <v>26</v>
      </c>
      <c r="D20" s="2" t="s">
        <v>32</v>
      </c>
      <c r="E20" s="2" t="s">
        <v>234</v>
      </c>
      <c r="F20" s="2" t="s">
        <v>235</v>
      </c>
      <c r="G20" s="4">
        <v>2.5191999999999999E-2</v>
      </c>
      <c r="H20" s="4">
        <v>0.20142399999999999</v>
      </c>
      <c r="I20" s="3">
        <f t="shared" si="0"/>
        <v>0.176232</v>
      </c>
    </row>
    <row r="21" spans="1:9" ht="28" x14ac:dyDescent="0.35">
      <c r="A21" s="2" t="s">
        <v>27</v>
      </c>
      <c r="B21" s="2" t="s">
        <v>32</v>
      </c>
      <c r="C21" s="2" t="s">
        <v>26</v>
      </c>
      <c r="D21" s="2" t="s">
        <v>32</v>
      </c>
      <c r="E21" s="2" t="s">
        <v>236</v>
      </c>
      <c r="F21" s="2" t="s">
        <v>235</v>
      </c>
      <c r="G21" s="4">
        <v>5.4732999999999997E-2</v>
      </c>
      <c r="H21" s="4">
        <v>0.26522499999999999</v>
      </c>
      <c r="I21" s="3">
        <f t="shared" si="0"/>
        <v>0.21049199999999998</v>
      </c>
    </row>
    <row r="22" spans="1:9" ht="28" x14ac:dyDescent="0.35">
      <c r="A22" s="2" t="s">
        <v>27</v>
      </c>
      <c r="B22" s="2" t="s">
        <v>32</v>
      </c>
      <c r="C22" s="2" t="s">
        <v>26</v>
      </c>
      <c r="D22" s="2" t="s">
        <v>32</v>
      </c>
      <c r="E22" s="2" t="s">
        <v>237</v>
      </c>
      <c r="F22" s="2" t="s">
        <v>235</v>
      </c>
      <c r="G22" s="4">
        <v>5.5019999999999999E-2</v>
      </c>
      <c r="H22" s="4">
        <v>0.25540499999999999</v>
      </c>
      <c r="I22" s="3">
        <f t="shared" si="0"/>
        <v>0.20038499999999998</v>
      </c>
    </row>
    <row r="23" spans="1:9" ht="28" x14ac:dyDescent="0.35">
      <c r="A23" s="2" t="s">
        <v>27</v>
      </c>
      <c r="B23" s="2" t="s">
        <v>32</v>
      </c>
      <c r="C23" s="2" t="s">
        <v>26</v>
      </c>
      <c r="D23" s="2" t="s">
        <v>32</v>
      </c>
      <c r="E23" s="2" t="s">
        <v>238</v>
      </c>
      <c r="F23" s="2" t="s">
        <v>239</v>
      </c>
      <c r="G23" s="4">
        <v>0.64579699999999995</v>
      </c>
      <c r="H23" s="4">
        <v>0.77444199999999996</v>
      </c>
      <c r="I23" s="3">
        <f t="shared" si="0"/>
        <v>0.12864500000000001</v>
      </c>
    </row>
    <row r="24" spans="1:9" ht="28" x14ac:dyDescent="0.35">
      <c r="A24" s="2" t="s">
        <v>27</v>
      </c>
      <c r="B24" s="2" t="s">
        <v>32</v>
      </c>
      <c r="C24" s="2" t="s">
        <v>26</v>
      </c>
      <c r="D24" s="2" t="s">
        <v>32</v>
      </c>
      <c r="E24" s="2" t="s">
        <v>238</v>
      </c>
      <c r="F24" s="2" t="s">
        <v>240</v>
      </c>
      <c r="G24" s="4">
        <v>0.18444099999999999</v>
      </c>
      <c r="H24" s="4">
        <v>0.455822</v>
      </c>
      <c r="I24" s="3">
        <f t="shared" si="0"/>
        <v>0.27138099999999998</v>
      </c>
    </row>
    <row r="25" spans="1:9" ht="28" x14ac:dyDescent="0.35">
      <c r="A25" s="2" t="s">
        <v>27</v>
      </c>
      <c r="B25" s="2" t="s">
        <v>32</v>
      </c>
      <c r="C25" s="2" t="s">
        <v>26</v>
      </c>
      <c r="D25" s="2" t="s">
        <v>32</v>
      </c>
      <c r="E25" s="2" t="s">
        <v>241</v>
      </c>
      <c r="F25" s="2" t="s">
        <v>239</v>
      </c>
      <c r="G25" s="4">
        <v>0.67225000000000001</v>
      </c>
      <c r="H25" s="4">
        <v>0.79982699999999995</v>
      </c>
      <c r="I25" s="3">
        <f t="shared" si="0"/>
        <v>0.12757699999999994</v>
      </c>
    </row>
    <row r="26" spans="1:9" ht="28" x14ac:dyDescent="0.35">
      <c r="A26" s="2" t="s">
        <v>27</v>
      </c>
      <c r="B26" s="2" t="s">
        <v>32</v>
      </c>
      <c r="C26" s="2" t="s">
        <v>26</v>
      </c>
      <c r="D26" s="2" t="s">
        <v>32</v>
      </c>
      <c r="E26" s="2" t="s">
        <v>241</v>
      </c>
      <c r="F26" s="2" t="s">
        <v>240</v>
      </c>
      <c r="G26" s="4">
        <v>0.248747</v>
      </c>
      <c r="H26" s="4">
        <v>0.51657500000000001</v>
      </c>
      <c r="I26" s="3">
        <f t="shared" si="0"/>
        <v>0.26782800000000001</v>
      </c>
    </row>
    <row r="27" spans="1:9" ht="28" x14ac:dyDescent="0.35">
      <c r="A27" s="2" t="s">
        <v>27</v>
      </c>
      <c r="B27" s="2" t="s">
        <v>32</v>
      </c>
      <c r="C27" s="2" t="s">
        <v>26</v>
      </c>
      <c r="D27" s="2" t="s">
        <v>32</v>
      </c>
      <c r="E27" s="2" t="s">
        <v>242</v>
      </c>
      <c r="F27" s="2" t="s">
        <v>239</v>
      </c>
      <c r="G27" s="4">
        <v>0.68498099999999995</v>
      </c>
      <c r="H27" s="4">
        <v>0.81671899999999997</v>
      </c>
      <c r="I27" s="3">
        <f t="shared" si="0"/>
        <v>0.13173800000000002</v>
      </c>
    </row>
    <row r="28" spans="1:9" ht="28" x14ac:dyDescent="0.35">
      <c r="A28" s="2" t="s">
        <v>27</v>
      </c>
      <c r="B28" s="2" t="s">
        <v>32</v>
      </c>
      <c r="C28" s="2" t="s">
        <v>26</v>
      </c>
      <c r="D28" s="2" t="s">
        <v>32</v>
      </c>
      <c r="E28" s="2" t="s">
        <v>242</v>
      </c>
      <c r="F28" s="2" t="s">
        <v>240</v>
      </c>
      <c r="G28" s="4">
        <v>0.26935999999999999</v>
      </c>
      <c r="H28" s="4">
        <v>0.57144899999999998</v>
      </c>
      <c r="I28" s="3">
        <f t="shared" si="0"/>
        <v>0.302089</v>
      </c>
    </row>
    <row r="29" spans="1:9" ht="28" x14ac:dyDescent="0.35">
      <c r="A29" s="2" t="s">
        <v>33</v>
      </c>
      <c r="B29" s="2" t="s">
        <v>37</v>
      </c>
      <c r="C29" s="2" t="s">
        <v>32</v>
      </c>
      <c r="D29" s="2" t="s">
        <v>37</v>
      </c>
      <c r="E29" s="2" t="s">
        <v>234</v>
      </c>
      <c r="F29" s="2" t="s">
        <v>235</v>
      </c>
      <c r="G29" s="4">
        <v>0.20142399999999999</v>
      </c>
      <c r="H29" s="4">
        <v>0.266625</v>
      </c>
      <c r="I29" s="3">
        <f t="shared" si="0"/>
        <v>6.5201000000000009E-2</v>
      </c>
    </row>
    <row r="30" spans="1:9" ht="28" x14ac:dyDescent="0.35">
      <c r="A30" s="2" t="s">
        <v>33</v>
      </c>
      <c r="B30" s="2" t="s">
        <v>37</v>
      </c>
      <c r="C30" s="2" t="s">
        <v>32</v>
      </c>
      <c r="D30" s="2" t="s">
        <v>37</v>
      </c>
      <c r="E30" s="2" t="s">
        <v>236</v>
      </c>
      <c r="F30" s="2" t="s">
        <v>235</v>
      </c>
      <c r="G30" s="4">
        <v>0.26522499999999999</v>
      </c>
      <c r="H30" s="4">
        <v>0.31279600000000002</v>
      </c>
      <c r="I30" s="3">
        <f t="shared" si="0"/>
        <v>4.757100000000003E-2</v>
      </c>
    </row>
    <row r="31" spans="1:9" ht="28" x14ac:dyDescent="0.35">
      <c r="A31" s="2" t="s">
        <v>33</v>
      </c>
      <c r="B31" s="2" t="s">
        <v>37</v>
      </c>
      <c r="C31" s="2" t="s">
        <v>32</v>
      </c>
      <c r="D31" s="2" t="s">
        <v>37</v>
      </c>
      <c r="E31" s="2" t="s">
        <v>237</v>
      </c>
      <c r="F31" s="2" t="s">
        <v>235</v>
      </c>
      <c r="G31" s="4">
        <v>0.25540499999999999</v>
      </c>
      <c r="H31" s="4">
        <v>0.311164</v>
      </c>
      <c r="I31" s="3">
        <f t="shared" si="0"/>
        <v>5.5759000000000003E-2</v>
      </c>
    </row>
    <row r="32" spans="1:9" ht="28" x14ac:dyDescent="0.35">
      <c r="A32" s="2" t="s">
        <v>33</v>
      </c>
      <c r="B32" s="2" t="s">
        <v>37</v>
      </c>
      <c r="C32" s="2" t="s">
        <v>32</v>
      </c>
      <c r="D32" s="2" t="s">
        <v>37</v>
      </c>
      <c r="E32" s="2" t="s">
        <v>238</v>
      </c>
      <c r="F32" s="2" t="s">
        <v>239</v>
      </c>
      <c r="G32" s="4">
        <v>0.77444199999999996</v>
      </c>
      <c r="H32" s="4">
        <v>0.80227199999999999</v>
      </c>
      <c r="I32" s="3">
        <f t="shared" si="0"/>
        <v>2.7830000000000021E-2</v>
      </c>
    </row>
    <row r="33" spans="1:9" ht="28" x14ac:dyDescent="0.35">
      <c r="A33" s="2" t="s">
        <v>33</v>
      </c>
      <c r="B33" s="2" t="s">
        <v>37</v>
      </c>
      <c r="C33" s="2" t="s">
        <v>32</v>
      </c>
      <c r="D33" s="2" t="s">
        <v>37</v>
      </c>
      <c r="E33" s="2" t="s">
        <v>238</v>
      </c>
      <c r="F33" s="2" t="s">
        <v>240</v>
      </c>
      <c r="G33" s="4">
        <v>0.455822</v>
      </c>
      <c r="H33" s="4">
        <v>0.52499899999999999</v>
      </c>
      <c r="I33" s="3">
        <f t="shared" si="0"/>
        <v>6.9176999999999988E-2</v>
      </c>
    </row>
    <row r="34" spans="1:9" ht="28" x14ac:dyDescent="0.35">
      <c r="A34" s="2" t="s">
        <v>33</v>
      </c>
      <c r="B34" s="2" t="s">
        <v>37</v>
      </c>
      <c r="C34" s="2" t="s">
        <v>32</v>
      </c>
      <c r="D34" s="2" t="s">
        <v>37</v>
      </c>
      <c r="E34" s="2" t="s">
        <v>241</v>
      </c>
      <c r="F34" s="2" t="s">
        <v>239</v>
      </c>
      <c r="G34" s="4">
        <v>0.79982699999999995</v>
      </c>
      <c r="H34" s="4">
        <v>0.83535199999999998</v>
      </c>
      <c r="I34" s="3">
        <f t="shared" si="0"/>
        <v>3.5525000000000029E-2</v>
      </c>
    </row>
    <row r="35" spans="1:9" ht="28" x14ac:dyDescent="0.35">
      <c r="A35" s="2" t="s">
        <v>33</v>
      </c>
      <c r="B35" s="2" t="s">
        <v>37</v>
      </c>
      <c r="C35" s="2" t="s">
        <v>32</v>
      </c>
      <c r="D35" s="2" t="s">
        <v>37</v>
      </c>
      <c r="E35" s="2" t="s">
        <v>241</v>
      </c>
      <c r="F35" s="2" t="s">
        <v>240</v>
      </c>
      <c r="G35" s="4">
        <v>0.51657500000000001</v>
      </c>
      <c r="H35" s="4">
        <v>0.61062700000000003</v>
      </c>
      <c r="I35" s="3">
        <f t="shared" si="0"/>
        <v>9.4052000000000024E-2</v>
      </c>
    </row>
    <row r="36" spans="1:9" ht="28" x14ac:dyDescent="0.35">
      <c r="A36" s="2" t="s">
        <v>33</v>
      </c>
      <c r="B36" s="2" t="s">
        <v>37</v>
      </c>
      <c r="C36" s="2" t="s">
        <v>32</v>
      </c>
      <c r="D36" s="2" t="s">
        <v>37</v>
      </c>
      <c r="E36" s="2" t="s">
        <v>242</v>
      </c>
      <c r="F36" s="2" t="s">
        <v>239</v>
      </c>
      <c r="G36" s="4">
        <v>0.81671899999999997</v>
      </c>
      <c r="H36" s="4">
        <v>0.83543599999999996</v>
      </c>
      <c r="I36" s="3">
        <f t="shared" si="0"/>
        <v>1.8716999999999984E-2</v>
      </c>
    </row>
    <row r="37" spans="1:9" ht="28" x14ac:dyDescent="0.35">
      <c r="A37" s="2" t="s">
        <v>33</v>
      </c>
      <c r="B37" s="2" t="s">
        <v>37</v>
      </c>
      <c r="C37" s="2" t="s">
        <v>32</v>
      </c>
      <c r="D37" s="2" t="s">
        <v>37</v>
      </c>
      <c r="E37" s="2" t="s">
        <v>242</v>
      </c>
      <c r="F37" s="2" t="s">
        <v>240</v>
      </c>
      <c r="G37" s="4">
        <v>0.57144899999999998</v>
      </c>
      <c r="H37" s="4">
        <v>0.62279099999999998</v>
      </c>
      <c r="I37" s="3">
        <f t="shared" si="0"/>
        <v>5.1341999999999999E-2</v>
      </c>
    </row>
    <row r="38" spans="1:9" ht="28" x14ac:dyDescent="0.35">
      <c r="A38" s="2" t="s">
        <v>38</v>
      </c>
      <c r="B38" s="2" t="s">
        <v>43</v>
      </c>
      <c r="C38" s="2" t="s">
        <v>37</v>
      </c>
      <c r="D38" s="2" t="s">
        <v>43</v>
      </c>
      <c r="E38" s="2" t="s">
        <v>234</v>
      </c>
      <c r="F38" s="2" t="s">
        <v>235</v>
      </c>
      <c r="G38" s="4">
        <v>0.266625</v>
      </c>
      <c r="H38" s="4">
        <v>0.26653900000000003</v>
      </c>
      <c r="I38" s="3">
        <f t="shared" si="0"/>
        <v>-8.5999999999974985E-5</v>
      </c>
    </row>
    <row r="39" spans="1:9" ht="28" x14ac:dyDescent="0.35">
      <c r="A39" s="2" t="s">
        <v>38</v>
      </c>
      <c r="B39" s="2" t="s">
        <v>43</v>
      </c>
      <c r="C39" s="2" t="s">
        <v>37</v>
      </c>
      <c r="D39" s="2" t="s">
        <v>43</v>
      </c>
      <c r="E39" s="2" t="s">
        <v>236</v>
      </c>
      <c r="F39" s="2" t="s">
        <v>235</v>
      </c>
      <c r="G39" s="4">
        <v>0.31279600000000002</v>
      </c>
      <c r="H39" s="4">
        <v>0.316139</v>
      </c>
      <c r="I39" s="3">
        <f t="shared" si="0"/>
        <v>3.3429999999999849E-3</v>
      </c>
    </row>
    <row r="40" spans="1:9" ht="28" x14ac:dyDescent="0.35">
      <c r="A40" s="2" t="s">
        <v>38</v>
      </c>
      <c r="B40" s="2" t="s">
        <v>43</v>
      </c>
      <c r="C40" s="2" t="s">
        <v>37</v>
      </c>
      <c r="D40" s="2" t="s">
        <v>43</v>
      </c>
      <c r="E40" s="2" t="s">
        <v>237</v>
      </c>
      <c r="F40" s="2" t="s">
        <v>235</v>
      </c>
      <c r="G40" s="4">
        <v>0.311164</v>
      </c>
      <c r="H40" s="4">
        <v>0.30848599999999998</v>
      </c>
      <c r="I40" s="3">
        <f t="shared" si="0"/>
        <v>-2.6780000000000137E-3</v>
      </c>
    </row>
    <row r="41" spans="1:9" ht="28" x14ac:dyDescent="0.35">
      <c r="A41" s="2" t="s">
        <v>38</v>
      </c>
      <c r="B41" s="2" t="s">
        <v>43</v>
      </c>
      <c r="C41" s="2" t="s">
        <v>37</v>
      </c>
      <c r="D41" s="2" t="s">
        <v>43</v>
      </c>
      <c r="E41" s="2" t="s">
        <v>238</v>
      </c>
      <c r="F41" s="2" t="s">
        <v>239</v>
      </c>
      <c r="G41" s="4">
        <v>0.80227199999999999</v>
      </c>
      <c r="H41" s="4">
        <v>0.80109799999999998</v>
      </c>
      <c r="I41" s="3">
        <f t="shared" si="0"/>
        <v>-1.1740000000000084E-3</v>
      </c>
    </row>
    <row r="42" spans="1:9" ht="28" x14ac:dyDescent="0.35">
      <c r="A42" s="2" t="s">
        <v>38</v>
      </c>
      <c r="B42" s="2" t="s">
        <v>43</v>
      </c>
      <c r="C42" s="2" t="s">
        <v>37</v>
      </c>
      <c r="D42" s="2" t="s">
        <v>43</v>
      </c>
      <c r="E42" s="2" t="s">
        <v>238</v>
      </c>
      <c r="F42" s="2" t="s">
        <v>240</v>
      </c>
      <c r="G42" s="4">
        <v>0.52499899999999999</v>
      </c>
      <c r="H42" s="4">
        <v>0.53041400000000005</v>
      </c>
      <c r="I42" s="3">
        <f t="shared" si="0"/>
        <v>5.4150000000000587E-3</v>
      </c>
    </row>
    <row r="43" spans="1:9" ht="28" x14ac:dyDescent="0.35">
      <c r="A43" s="2" t="s">
        <v>38</v>
      </c>
      <c r="B43" s="2" t="s">
        <v>43</v>
      </c>
      <c r="C43" s="2" t="s">
        <v>37</v>
      </c>
      <c r="D43" s="2" t="s">
        <v>43</v>
      </c>
      <c r="E43" s="2" t="s">
        <v>241</v>
      </c>
      <c r="F43" s="2" t="s">
        <v>239</v>
      </c>
      <c r="G43" s="4">
        <v>0.83535199999999998</v>
      </c>
      <c r="H43" s="4">
        <v>0.83385500000000001</v>
      </c>
      <c r="I43" s="3">
        <f t="shared" si="0"/>
        <v>-1.4969999999999706E-3</v>
      </c>
    </row>
    <row r="44" spans="1:9" ht="28" x14ac:dyDescent="0.35">
      <c r="A44" s="2" t="s">
        <v>38</v>
      </c>
      <c r="B44" s="2" t="s">
        <v>43</v>
      </c>
      <c r="C44" s="2" t="s">
        <v>37</v>
      </c>
      <c r="D44" s="2" t="s">
        <v>43</v>
      </c>
      <c r="E44" s="2" t="s">
        <v>241</v>
      </c>
      <c r="F44" s="2" t="s">
        <v>240</v>
      </c>
      <c r="G44" s="4">
        <v>0.61062700000000003</v>
      </c>
      <c r="H44" s="4">
        <v>0.60742799999999997</v>
      </c>
      <c r="I44" s="3">
        <f t="shared" si="0"/>
        <v>-3.1990000000000629E-3</v>
      </c>
    </row>
    <row r="45" spans="1:9" ht="28" x14ac:dyDescent="0.35">
      <c r="A45" s="2" t="s">
        <v>38</v>
      </c>
      <c r="B45" s="2" t="s">
        <v>43</v>
      </c>
      <c r="C45" s="2" t="s">
        <v>37</v>
      </c>
      <c r="D45" s="2" t="s">
        <v>43</v>
      </c>
      <c r="E45" s="2" t="s">
        <v>242</v>
      </c>
      <c r="F45" s="2" t="s">
        <v>239</v>
      </c>
      <c r="G45" s="4">
        <v>0.83543599999999996</v>
      </c>
      <c r="H45" s="4">
        <v>0.83548500000000003</v>
      </c>
      <c r="I45" s="3">
        <f t="shared" si="0"/>
        <v>4.900000000007676E-5</v>
      </c>
    </row>
    <row r="46" spans="1:9" ht="28" x14ac:dyDescent="0.35">
      <c r="A46" s="2" t="s">
        <v>38</v>
      </c>
      <c r="B46" s="2" t="s">
        <v>43</v>
      </c>
      <c r="C46" s="2" t="s">
        <v>37</v>
      </c>
      <c r="D46" s="2" t="s">
        <v>43</v>
      </c>
      <c r="E46" s="2" t="s">
        <v>242</v>
      </c>
      <c r="F46" s="2" t="s">
        <v>240</v>
      </c>
      <c r="G46" s="4">
        <v>0.62279099999999998</v>
      </c>
      <c r="H46" s="4">
        <v>0.61985100000000004</v>
      </c>
      <c r="I46" s="3">
        <f t="shared" si="0"/>
        <v>-2.9399999999999427E-3</v>
      </c>
    </row>
    <row r="47" spans="1:9" ht="28" x14ac:dyDescent="0.35">
      <c r="A47" s="2" t="s">
        <v>44</v>
      </c>
      <c r="B47" s="2" t="s">
        <v>49</v>
      </c>
      <c r="C47" s="2" t="s">
        <v>37</v>
      </c>
      <c r="D47" s="2" t="s">
        <v>49</v>
      </c>
      <c r="E47" s="2" t="s">
        <v>234</v>
      </c>
      <c r="F47" s="2" t="s">
        <v>235</v>
      </c>
      <c r="G47" s="4">
        <v>0.266625</v>
      </c>
      <c r="H47" s="4">
        <v>0.25751299999999999</v>
      </c>
      <c r="I47" s="3">
        <f t="shared" si="0"/>
        <v>-9.112000000000009E-3</v>
      </c>
    </row>
    <row r="48" spans="1:9" ht="28" x14ac:dyDescent="0.35">
      <c r="A48" s="2" t="s">
        <v>44</v>
      </c>
      <c r="B48" s="2" t="s">
        <v>49</v>
      </c>
      <c r="C48" s="2" t="s">
        <v>37</v>
      </c>
      <c r="D48" s="2" t="s">
        <v>49</v>
      </c>
      <c r="E48" s="2" t="s">
        <v>236</v>
      </c>
      <c r="F48" s="2" t="s">
        <v>235</v>
      </c>
      <c r="G48" s="4">
        <v>0.31279600000000002</v>
      </c>
      <c r="H48" s="4">
        <v>0.29558899999999999</v>
      </c>
      <c r="I48" s="3">
        <f t="shared" si="0"/>
        <v>-1.7207000000000028E-2</v>
      </c>
    </row>
    <row r="49" spans="1:9" ht="28" x14ac:dyDescent="0.35">
      <c r="A49" s="2" t="s">
        <v>44</v>
      </c>
      <c r="B49" s="2" t="s">
        <v>49</v>
      </c>
      <c r="C49" s="2" t="s">
        <v>37</v>
      </c>
      <c r="D49" s="2" t="s">
        <v>49</v>
      </c>
      <c r="E49" s="2" t="s">
        <v>237</v>
      </c>
      <c r="F49" s="2" t="s">
        <v>235</v>
      </c>
      <c r="G49" s="4">
        <v>0.311164</v>
      </c>
      <c r="H49" s="4">
        <v>0.29702200000000001</v>
      </c>
      <c r="I49" s="3">
        <f t="shared" si="0"/>
        <v>-1.4141999999999988E-2</v>
      </c>
    </row>
    <row r="50" spans="1:9" ht="28" x14ac:dyDescent="0.35">
      <c r="A50" s="2" t="s">
        <v>44</v>
      </c>
      <c r="B50" s="2" t="s">
        <v>49</v>
      </c>
      <c r="C50" s="2" t="s">
        <v>37</v>
      </c>
      <c r="D50" s="2" t="s">
        <v>49</v>
      </c>
      <c r="E50" s="2" t="s">
        <v>238</v>
      </c>
      <c r="F50" s="2" t="s">
        <v>239</v>
      </c>
      <c r="G50" s="4">
        <v>0.80227199999999999</v>
      </c>
      <c r="H50" s="4">
        <v>0.79186699999999999</v>
      </c>
      <c r="I50" s="3">
        <f t="shared" si="0"/>
        <v>-1.0404999999999998E-2</v>
      </c>
    </row>
    <row r="51" spans="1:9" ht="28" x14ac:dyDescent="0.35">
      <c r="A51" s="2" t="s">
        <v>44</v>
      </c>
      <c r="B51" s="2" t="s">
        <v>49</v>
      </c>
      <c r="C51" s="2" t="s">
        <v>37</v>
      </c>
      <c r="D51" s="2" t="s">
        <v>49</v>
      </c>
      <c r="E51" s="2" t="s">
        <v>238</v>
      </c>
      <c r="F51" s="2" t="s">
        <v>240</v>
      </c>
      <c r="G51" s="4">
        <v>0.52499899999999999</v>
      </c>
      <c r="H51" s="4">
        <v>0.53134700000000001</v>
      </c>
      <c r="I51" s="3">
        <f t="shared" si="0"/>
        <v>6.3480000000000203E-3</v>
      </c>
    </row>
    <row r="52" spans="1:9" ht="28" x14ac:dyDescent="0.35">
      <c r="A52" s="2" t="s">
        <v>44</v>
      </c>
      <c r="B52" s="2" t="s">
        <v>49</v>
      </c>
      <c r="C52" s="2" t="s">
        <v>37</v>
      </c>
      <c r="D52" s="2" t="s">
        <v>49</v>
      </c>
      <c r="E52" s="2" t="s">
        <v>241</v>
      </c>
      <c r="F52" s="2" t="s">
        <v>239</v>
      </c>
      <c r="G52" s="4">
        <v>0.83535199999999998</v>
      </c>
      <c r="H52" s="4">
        <v>0.82553900000000002</v>
      </c>
      <c r="I52" s="3">
        <f t="shared" si="0"/>
        <v>-9.8129999999999606E-3</v>
      </c>
    </row>
    <row r="53" spans="1:9" ht="28" x14ac:dyDescent="0.35">
      <c r="A53" s="2" t="s">
        <v>44</v>
      </c>
      <c r="B53" s="2" t="s">
        <v>49</v>
      </c>
      <c r="C53" s="2" t="s">
        <v>37</v>
      </c>
      <c r="D53" s="2" t="s">
        <v>49</v>
      </c>
      <c r="E53" s="2" t="s">
        <v>241</v>
      </c>
      <c r="F53" s="2" t="s">
        <v>240</v>
      </c>
      <c r="G53" s="4">
        <v>0.61062700000000003</v>
      </c>
      <c r="H53" s="4">
        <v>0.60075000000000001</v>
      </c>
      <c r="I53" s="3">
        <f t="shared" si="0"/>
        <v>-9.8770000000000246E-3</v>
      </c>
    </row>
    <row r="54" spans="1:9" ht="28" x14ac:dyDescent="0.35">
      <c r="A54" s="2" t="s">
        <v>44</v>
      </c>
      <c r="B54" s="2" t="s">
        <v>49</v>
      </c>
      <c r="C54" s="2" t="s">
        <v>37</v>
      </c>
      <c r="D54" s="2" t="s">
        <v>49</v>
      </c>
      <c r="E54" s="2" t="s">
        <v>242</v>
      </c>
      <c r="F54" s="2" t="s">
        <v>239</v>
      </c>
      <c r="G54" s="4">
        <v>0.83543599999999996</v>
      </c>
      <c r="H54" s="4">
        <v>0.83325700000000003</v>
      </c>
      <c r="I54" s="3">
        <f t="shared" si="0"/>
        <v>-2.178999999999931E-3</v>
      </c>
    </row>
    <row r="55" spans="1:9" ht="28" x14ac:dyDescent="0.35">
      <c r="A55" s="2" t="s">
        <v>44</v>
      </c>
      <c r="B55" s="2" t="s">
        <v>49</v>
      </c>
      <c r="C55" s="2" t="s">
        <v>37</v>
      </c>
      <c r="D55" s="2" t="s">
        <v>49</v>
      </c>
      <c r="E55" s="2" t="s">
        <v>242</v>
      </c>
      <c r="F55" s="2" t="s">
        <v>240</v>
      </c>
      <c r="G55" s="4">
        <v>0.62279099999999998</v>
      </c>
      <c r="H55" s="4">
        <v>0.614236</v>
      </c>
      <c r="I55" s="3">
        <f t="shared" si="0"/>
        <v>-8.5549999999999793E-3</v>
      </c>
    </row>
    <row r="56" spans="1:9" ht="28" x14ac:dyDescent="0.35">
      <c r="A56" s="2" t="s">
        <v>50</v>
      </c>
      <c r="B56" s="2" t="s">
        <v>54</v>
      </c>
      <c r="C56" s="2" t="s">
        <v>233</v>
      </c>
      <c r="D56" s="2" t="s">
        <v>54</v>
      </c>
      <c r="E56" s="2" t="s">
        <v>234</v>
      </c>
      <c r="F56" s="2" t="s">
        <v>235</v>
      </c>
      <c r="G56" s="4">
        <v>1.8089999999999998E-2</v>
      </c>
      <c r="H56" s="4">
        <v>1.9179000000000002E-2</v>
      </c>
      <c r="I56" s="3">
        <f t="shared" si="0"/>
        <v>1.0890000000000032E-3</v>
      </c>
    </row>
    <row r="57" spans="1:9" ht="28" x14ac:dyDescent="0.35">
      <c r="A57" s="2" t="s">
        <v>50</v>
      </c>
      <c r="B57" s="2" t="s">
        <v>54</v>
      </c>
      <c r="C57" s="2" t="s">
        <v>233</v>
      </c>
      <c r="D57" s="2" t="s">
        <v>54</v>
      </c>
      <c r="E57" s="2" t="s">
        <v>236</v>
      </c>
      <c r="F57" s="2" t="s">
        <v>235</v>
      </c>
      <c r="G57" s="4">
        <v>1.6056000000000001E-2</v>
      </c>
      <c r="H57" s="4">
        <v>1.6618000000000001E-2</v>
      </c>
      <c r="I57" s="3">
        <f t="shared" si="0"/>
        <v>5.62E-4</v>
      </c>
    </row>
    <row r="58" spans="1:9" ht="28" x14ac:dyDescent="0.35">
      <c r="A58" s="2" t="s">
        <v>50</v>
      </c>
      <c r="B58" s="2" t="s">
        <v>54</v>
      </c>
      <c r="C58" s="2" t="s">
        <v>233</v>
      </c>
      <c r="D58" s="2" t="s">
        <v>54</v>
      </c>
      <c r="E58" s="2" t="s">
        <v>237</v>
      </c>
      <c r="F58" s="2" t="s">
        <v>235</v>
      </c>
      <c r="G58" s="4">
        <v>5.4999999999999997E-3</v>
      </c>
      <c r="H58" s="4">
        <v>1.6601000000000001E-2</v>
      </c>
      <c r="I58" s="3">
        <f t="shared" si="0"/>
        <v>1.1101000000000001E-2</v>
      </c>
    </row>
    <row r="59" spans="1:9" ht="28" x14ac:dyDescent="0.35">
      <c r="A59" s="2" t="s">
        <v>50</v>
      </c>
      <c r="B59" s="2" t="s">
        <v>54</v>
      </c>
      <c r="C59" s="2" t="s">
        <v>233</v>
      </c>
      <c r="D59" s="2" t="s">
        <v>54</v>
      </c>
      <c r="E59" s="2" t="s">
        <v>238</v>
      </c>
      <c r="F59" s="2" t="s">
        <v>239</v>
      </c>
      <c r="G59" s="4">
        <v>0.63741999999999999</v>
      </c>
      <c r="H59" s="4">
        <v>0.63742900000000002</v>
      </c>
      <c r="I59" s="3">
        <f t="shared" si="0"/>
        <v>9.0000000000367564E-6</v>
      </c>
    </row>
    <row r="60" spans="1:9" ht="28" x14ac:dyDescent="0.35">
      <c r="A60" s="2" t="s">
        <v>50</v>
      </c>
      <c r="B60" s="2" t="s">
        <v>54</v>
      </c>
      <c r="C60" s="2" t="s">
        <v>233</v>
      </c>
      <c r="D60" s="2" t="s">
        <v>54</v>
      </c>
      <c r="E60" s="2" t="s">
        <v>238</v>
      </c>
      <c r="F60" s="2" t="s">
        <v>240</v>
      </c>
      <c r="G60" s="4">
        <v>0.17575099999999999</v>
      </c>
      <c r="H60" s="4">
        <v>0.17178599999999999</v>
      </c>
      <c r="I60" s="3">
        <f t="shared" si="0"/>
        <v>-3.9649999999999963E-3</v>
      </c>
    </row>
    <row r="61" spans="1:9" ht="28" x14ac:dyDescent="0.35">
      <c r="A61" s="2" t="s">
        <v>50</v>
      </c>
      <c r="B61" s="2" t="s">
        <v>54</v>
      </c>
      <c r="C61" s="2" t="s">
        <v>233</v>
      </c>
      <c r="D61" s="2" t="s">
        <v>54</v>
      </c>
      <c r="E61" s="2" t="s">
        <v>241</v>
      </c>
      <c r="F61" s="2" t="s">
        <v>239</v>
      </c>
      <c r="G61" s="4">
        <v>0.63796600000000003</v>
      </c>
      <c r="H61" s="4">
        <v>0.64139100000000004</v>
      </c>
      <c r="I61" s="3">
        <f t="shared" si="0"/>
        <v>3.4250000000000114E-3</v>
      </c>
    </row>
    <row r="62" spans="1:9" ht="28" x14ac:dyDescent="0.35">
      <c r="A62" s="2" t="s">
        <v>50</v>
      </c>
      <c r="B62" s="2" t="s">
        <v>54</v>
      </c>
      <c r="C62" s="2" t="s">
        <v>233</v>
      </c>
      <c r="D62" s="2" t="s">
        <v>54</v>
      </c>
      <c r="E62" s="2" t="s">
        <v>241</v>
      </c>
      <c r="F62" s="2" t="s">
        <v>240</v>
      </c>
      <c r="G62" s="4">
        <v>0.16984199999999999</v>
      </c>
      <c r="H62" s="4">
        <v>0.171822</v>
      </c>
      <c r="I62" s="3">
        <f t="shared" si="0"/>
        <v>1.9800000000000095E-3</v>
      </c>
    </row>
    <row r="63" spans="1:9" ht="28" x14ac:dyDescent="0.35">
      <c r="A63" s="2" t="s">
        <v>50</v>
      </c>
      <c r="B63" s="2" t="s">
        <v>54</v>
      </c>
      <c r="C63" s="2" t="s">
        <v>233</v>
      </c>
      <c r="D63" s="2" t="s">
        <v>54</v>
      </c>
      <c r="E63" s="2" t="s">
        <v>242</v>
      </c>
      <c r="F63" s="2" t="s">
        <v>239</v>
      </c>
      <c r="G63" s="4">
        <v>0.65610599999999997</v>
      </c>
      <c r="H63" s="4">
        <v>0.65684399999999998</v>
      </c>
      <c r="I63" s="3">
        <f t="shared" si="0"/>
        <v>7.3800000000001642E-4</v>
      </c>
    </row>
    <row r="64" spans="1:9" ht="28" x14ac:dyDescent="0.35">
      <c r="A64" s="2" t="s">
        <v>50</v>
      </c>
      <c r="B64" s="2" t="s">
        <v>54</v>
      </c>
      <c r="C64" s="2" t="s">
        <v>233</v>
      </c>
      <c r="D64" s="2" t="s">
        <v>54</v>
      </c>
      <c r="E64" s="2" t="s">
        <v>242</v>
      </c>
      <c r="F64" s="2" t="s">
        <v>240</v>
      </c>
      <c r="G64" s="4">
        <v>0.18690200000000001</v>
      </c>
      <c r="H64" s="4">
        <v>0.18454899999999999</v>
      </c>
      <c r="I64" s="3">
        <f t="shared" si="0"/>
        <v>-2.3530000000000217E-3</v>
      </c>
    </row>
    <row r="65" spans="1:9" ht="42" x14ac:dyDescent="0.35">
      <c r="A65" s="2" t="s">
        <v>55</v>
      </c>
      <c r="B65" s="2" t="s">
        <v>58</v>
      </c>
      <c r="C65" s="2" t="s">
        <v>26</v>
      </c>
      <c r="D65" s="2" t="s">
        <v>58</v>
      </c>
      <c r="E65" s="2" t="s">
        <v>234</v>
      </c>
      <c r="F65" s="2" t="s">
        <v>235</v>
      </c>
      <c r="G65" s="4">
        <v>2.5191999999999999E-2</v>
      </c>
      <c r="H65" s="4">
        <v>2.6301999999999999E-2</v>
      </c>
      <c r="I65" s="3">
        <f t="shared" si="0"/>
        <v>1.1099999999999999E-3</v>
      </c>
    </row>
    <row r="66" spans="1:9" ht="42" x14ac:dyDescent="0.35">
      <c r="A66" s="2" t="s">
        <v>55</v>
      </c>
      <c r="B66" s="2" t="s">
        <v>58</v>
      </c>
      <c r="C66" s="2" t="s">
        <v>26</v>
      </c>
      <c r="D66" s="2" t="s">
        <v>58</v>
      </c>
      <c r="E66" s="2" t="s">
        <v>236</v>
      </c>
      <c r="F66" s="2" t="s">
        <v>235</v>
      </c>
      <c r="G66" s="4">
        <v>5.4732999999999997E-2</v>
      </c>
      <c r="H66" s="4">
        <v>6.2176000000000002E-2</v>
      </c>
      <c r="I66" s="3">
        <f t="shared" ref="I66:I129" si="1">H66-G66</f>
        <v>7.4430000000000052E-3</v>
      </c>
    </row>
    <row r="67" spans="1:9" ht="42" x14ac:dyDescent="0.35">
      <c r="A67" s="2" t="s">
        <v>55</v>
      </c>
      <c r="B67" s="2" t="s">
        <v>58</v>
      </c>
      <c r="C67" s="2" t="s">
        <v>26</v>
      </c>
      <c r="D67" s="2" t="s">
        <v>58</v>
      </c>
      <c r="E67" s="2" t="s">
        <v>237</v>
      </c>
      <c r="F67" s="2" t="s">
        <v>235</v>
      </c>
      <c r="G67" s="4">
        <v>5.5019999999999999E-2</v>
      </c>
      <c r="H67" s="4">
        <v>5.2868999999999999E-2</v>
      </c>
      <c r="I67" s="3">
        <f t="shared" si="1"/>
        <v>-2.1510000000000001E-3</v>
      </c>
    </row>
    <row r="68" spans="1:9" ht="42" x14ac:dyDescent="0.35">
      <c r="A68" s="2" t="s">
        <v>55</v>
      </c>
      <c r="B68" s="2" t="s">
        <v>58</v>
      </c>
      <c r="C68" s="2" t="s">
        <v>26</v>
      </c>
      <c r="D68" s="2" t="s">
        <v>58</v>
      </c>
      <c r="E68" s="2" t="s">
        <v>238</v>
      </c>
      <c r="F68" s="2" t="s">
        <v>239</v>
      </c>
      <c r="G68" s="4">
        <v>0.64579699999999995</v>
      </c>
      <c r="H68" s="4">
        <v>0.64837599999999995</v>
      </c>
      <c r="I68" s="3">
        <f t="shared" si="1"/>
        <v>2.578999999999998E-3</v>
      </c>
    </row>
    <row r="69" spans="1:9" ht="42" x14ac:dyDescent="0.35">
      <c r="A69" s="2" t="s">
        <v>55</v>
      </c>
      <c r="B69" s="2" t="s">
        <v>58</v>
      </c>
      <c r="C69" s="2" t="s">
        <v>26</v>
      </c>
      <c r="D69" s="2" t="s">
        <v>58</v>
      </c>
      <c r="E69" s="2" t="s">
        <v>238</v>
      </c>
      <c r="F69" s="2" t="s">
        <v>240</v>
      </c>
      <c r="G69" s="4">
        <v>0.18444099999999999</v>
      </c>
      <c r="H69" s="4">
        <v>0.185255</v>
      </c>
      <c r="I69" s="3">
        <f t="shared" si="1"/>
        <v>8.1400000000000916E-4</v>
      </c>
    </row>
    <row r="70" spans="1:9" ht="42" x14ac:dyDescent="0.35">
      <c r="A70" s="2" t="s">
        <v>55</v>
      </c>
      <c r="B70" s="2" t="s">
        <v>58</v>
      </c>
      <c r="C70" s="2" t="s">
        <v>26</v>
      </c>
      <c r="D70" s="2" t="s">
        <v>58</v>
      </c>
      <c r="E70" s="2" t="s">
        <v>241</v>
      </c>
      <c r="F70" s="2" t="s">
        <v>239</v>
      </c>
      <c r="G70" s="4">
        <v>0.67225000000000001</v>
      </c>
      <c r="H70" s="4">
        <v>0.66381699999999999</v>
      </c>
      <c r="I70" s="3">
        <f t="shared" si="1"/>
        <v>-8.4330000000000238E-3</v>
      </c>
    </row>
    <row r="71" spans="1:9" ht="42" x14ac:dyDescent="0.35">
      <c r="A71" s="2" t="s">
        <v>55</v>
      </c>
      <c r="B71" s="2" t="s">
        <v>58</v>
      </c>
      <c r="C71" s="2" t="s">
        <v>26</v>
      </c>
      <c r="D71" s="2" t="s">
        <v>58</v>
      </c>
      <c r="E71" s="2" t="s">
        <v>241</v>
      </c>
      <c r="F71" s="2" t="s">
        <v>240</v>
      </c>
      <c r="G71" s="4">
        <v>0.248747</v>
      </c>
      <c r="H71" s="4">
        <v>0.23689299999999999</v>
      </c>
      <c r="I71" s="3">
        <f t="shared" si="1"/>
        <v>-1.1854000000000003E-2</v>
      </c>
    </row>
    <row r="72" spans="1:9" ht="42" x14ac:dyDescent="0.35">
      <c r="A72" s="2" t="s">
        <v>55</v>
      </c>
      <c r="B72" s="2" t="s">
        <v>58</v>
      </c>
      <c r="C72" s="2" t="s">
        <v>26</v>
      </c>
      <c r="D72" s="2" t="s">
        <v>58</v>
      </c>
      <c r="E72" s="2" t="s">
        <v>242</v>
      </c>
      <c r="F72" s="2" t="s">
        <v>239</v>
      </c>
      <c r="G72" s="4">
        <v>0.68498099999999995</v>
      </c>
      <c r="H72" s="4">
        <v>0.68615199999999998</v>
      </c>
      <c r="I72" s="3">
        <f t="shared" si="1"/>
        <v>1.1710000000000331E-3</v>
      </c>
    </row>
    <row r="73" spans="1:9" ht="42" x14ac:dyDescent="0.35">
      <c r="A73" s="2" t="s">
        <v>55</v>
      </c>
      <c r="B73" s="2" t="s">
        <v>58</v>
      </c>
      <c r="C73" s="2" t="s">
        <v>26</v>
      </c>
      <c r="D73" s="2" t="s">
        <v>58</v>
      </c>
      <c r="E73" s="2" t="s">
        <v>242</v>
      </c>
      <c r="F73" s="2" t="s">
        <v>240</v>
      </c>
      <c r="G73" s="4">
        <v>0.26935999999999999</v>
      </c>
      <c r="H73" s="4">
        <v>0.26423000000000002</v>
      </c>
      <c r="I73" s="3">
        <f t="shared" si="1"/>
        <v>-5.1299999999999679E-3</v>
      </c>
    </row>
    <row r="74" spans="1:9" ht="42" x14ac:dyDescent="0.35">
      <c r="A74" s="2" t="s">
        <v>59</v>
      </c>
      <c r="B74" s="2" t="s">
        <v>61</v>
      </c>
      <c r="C74" s="2" t="s">
        <v>37</v>
      </c>
      <c r="D74" s="2" t="s">
        <v>61</v>
      </c>
      <c r="E74" s="2" t="s">
        <v>234</v>
      </c>
      <c r="F74" s="2" t="s">
        <v>235</v>
      </c>
      <c r="G74" s="4">
        <v>0.266625</v>
      </c>
      <c r="H74" s="4">
        <v>0.26705200000000001</v>
      </c>
      <c r="I74" s="3">
        <f t="shared" si="1"/>
        <v>4.270000000000107E-4</v>
      </c>
    </row>
    <row r="75" spans="1:9" ht="42" x14ac:dyDescent="0.35">
      <c r="A75" s="2" t="s">
        <v>59</v>
      </c>
      <c r="B75" s="2" t="s">
        <v>61</v>
      </c>
      <c r="C75" s="2" t="s">
        <v>37</v>
      </c>
      <c r="D75" s="2" t="s">
        <v>61</v>
      </c>
      <c r="E75" s="2" t="s">
        <v>236</v>
      </c>
      <c r="F75" s="2" t="s">
        <v>235</v>
      </c>
      <c r="G75" s="4">
        <v>0.31279600000000002</v>
      </c>
      <c r="H75" s="4">
        <v>0.31458799999999998</v>
      </c>
      <c r="I75" s="3">
        <f t="shared" si="1"/>
        <v>1.7919999999999603E-3</v>
      </c>
    </row>
    <row r="76" spans="1:9" ht="42" x14ac:dyDescent="0.35">
      <c r="A76" s="2" t="s">
        <v>59</v>
      </c>
      <c r="B76" s="2" t="s">
        <v>61</v>
      </c>
      <c r="C76" s="2" t="s">
        <v>37</v>
      </c>
      <c r="D76" s="2" t="s">
        <v>61</v>
      </c>
      <c r="E76" s="2" t="s">
        <v>237</v>
      </c>
      <c r="F76" s="2" t="s">
        <v>235</v>
      </c>
      <c r="G76" s="4">
        <v>0.311164</v>
      </c>
      <c r="H76" s="4">
        <v>0.30249500000000001</v>
      </c>
      <c r="I76" s="3">
        <f t="shared" si="1"/>
        <v>-8.6689999999999823E-3</v>
      </c>
    </row>
    <row r="77" spans="1:9" ht="42" x14ac:dyDescent="0.35">
      <c r="A77" s="2" t="s">
        <v>59</v>
      </c>
      <c r="B77" s="2" t="s">
        <v>61</v>
      </c>
      <c r="C77" s="2" t="s">
        <v>37</v>
      </c>
      <c r="D77" s="2" t="s">
        <v>61</v>
      </c>
      <c r="E77" s="2" t="s">
        <v>238</v>
      </c>
      <c r="F77" s="2" t="s">
        <v>239</v>
      </c>
      <c r="G77" s="4">
        <v>0.80227199999999999</v>
      </c>
      <c r="H77" s="4">
        <v>0.80333900000000003</v>
      </c>
      <c r="I77" s="3">
        <f t="shared" si="1"/>
        <v>1.0670000000000401E-3</v>
      </c>
    </row>
    <row r="78" spans="1:9" ht="42" x14ac:dyDescent="0.35">
      <c r="A78" s="2" t="s">
        <v>59</v>
      </c>
      <c r="B78" s="2" t="s">
        <v>61</v>
      </c>
      <c r="C78" s="2" t="s">
        <v>37</v>
      </c>
      <c r="D78" s="2" t="s">
        <v>61</v>
      </c>
      <c r="E78" s="2" t="s">
        <v>238</v>
      </c>
      <c r="F78" s="2" t="s">
        <v>240</v>
      </c>
      <c r="G78" s="4">
        <v>0.52499899999999999</v>
      </c>
      <c r="H78" s="4">
        <v>0.52626300000000004</v>
      </c>
      <c r="I78" s="3">
        <f t="shared" si="1"/>
        <v>1.2640000000000429E-3</v>
      </c>
    </row>
    <row r="79" spans="1:9" ht="42" x14ac:dyDescent="0.35">
      <c r="A79" s="2" t="s">
        <v>59</v>
      </c>
      <c r="B79" s="2" t="s">
        <v>61</v>
      </c>
      <c r="C79" s="2" t="s">
        <v>37</v>
      </c>
      <c r="D79" s="2" t="s">
        <v>61</v>
      </c>
      <c r="E79" s="2" t="s">
        <v>241</v>
      </c>
      <c r="F79" s="2" t="s">
        <v>239</v>
      </c>
      <c r="G79" s="4">
        <v>0.83535199999999998</v>
      </c>
      <c r="H79" s="4">
        <v>0.83451399999999998</v>
      </c>
      <c r="I79" s="3">
        <f t="shared" si="1"/>
        <v>-8.3800000000000541E-4</v>
      </c>
    </row>
    <row r="80" spans="1:9" ht="42" x14ac:dyDescent="0.35">
      <c r="A80" s="2" t="s">
        <v>59</v>
      </c>
      <c r="B80" s="2" t="s">
        <v>61</v>
      </c>
      <c r="C80" s="2" t="s">
        <v>37</v>
      </c>
      <c r="D80" s="2" t="s">
        <v>61</v>
      </c>
      <c r="E80" s="2" t="s">
        <v>241</v>
      </c>
      <c r="F80" s="2" t="s">
        <v>240</v>
      </c>
      <c r="G80" s="4">
        <v>0.61062700000000003</v>
      </c>
      <c r="H80" s="4">
        <v>0.61044500000000002</v>
      </c>
      <c r="I80" s="3">
        <f t="shared" si="1"/>
        <v>-1.8200000000001548E-4</v>
      </c>
    </row>
    <row r="81" spans="1:9" ht="42" x14ac:dyDescent="0.35">
      <c r="A81" s="2" t="s">
        <v>59</v>
      </c>
      <c r="B81" s="2" t="s">
        <v>61</v>
      </c>
      <c r="C81" s="2" t="s">
        <v>37</v>
      </c>
      <c r="D81" s="2" t="s">
        <v>61</v>
      </c>
      <c r="E81" s="2" t="s">
        <v>242</v>
      </c>
      <c r="F81" s="2" t="s">
        <v>239</v>
      </c>
      <c r="G81" s="4">
        <v>0.83543599999999996</v>
      </c>
      <c r="H81" s="4">
        <v>0.83630400000000005</v>
      </c>
      <c r="I81" s="3">
        <f t="shared" si="1"/>
        <v>8.6800000000009092E-4</v>
      </c>
    </row>
    <row r="82" spans="1:9" ht="42" x14ac:dyDescent="0.35">
      <c r="A82" s="2" t="s">
        <v>59</v>
      </c>
      <c r="B82" s="2" t="s">
        <v>61</v>
      </c>
      <c r="C82" s="2" t="s">
        <v>37</v>
      </c>
      <c r="D82" s="2" t="s">
        <v>61</v>
      </c>
      <c r="E82" s="2" t="s">
        <v>242</v>
      </c>
      <c r="F82" s="2" t="s">
        <v>240</v>
      </c>
      <c r="G82" s="4">
        <v>0.62279099999999998</v>
      </c>
      <c r="H82" s="4">
        <v>0.62108399999999997</v>
      </c>
      <c r="I82" s="3">
        <f t="shared" si="1"/>
        <v>-1.7070000000000141E-3</v>
      </c>
    </row>
    <row r="83" spans="1:9" ht="28" x14ac:dyDescent="0.35">
      <c r="A83" s="2" t="s">
        <v>62</v>
      </c>
      <c r="B83" s="2" t="s">
        <v>66</v>
      </c>
      <c r="C83" s="2" t="s">
        <v>243</v>
      </c>
      <c r="D83" s="2" t="s">
        <v>66</v>
      </c>
      <c r="E83" s="2" t="s">
        <v>234</v>
      </c>
      <c r="F83" s="2" t="s">
        <v>235</v>
      </c>
      <c r="G83" s="4">
        <v>0.265982</v>
      </c>
      <c r="H83" s="4">
        <v>0.26567200000000002</v>
      </c>
      <c r="I83" s="3">
        <f t="shared" si="1"/>
        <v>-3.0999999999997696E-4</v>
      </c>
    </row>
    <row r="84" spans="1:9" ht="28" x14ac:dyDescent="0.35">
      <c r="A84" s="2" t="s">
        <v>62</v>
      </c>
      <c r="B84" s="2" t="s">
        <v>66</v>
      </c>
      <c r="C84" s="2" t="s">
        <v>243</v>
      </c>
      <c r="D84" s="2" t="s">
        <v>66</v>
      </c>
      <c r="E84" s="2" t="s">
        <v>236</v>
      </c>
      <c r="F84" s="2" t="s">
        <v>235</v>
      </c>
      <c r="G84" s="4">
        <v>0.31615300000000002</v>
      </c>
      <c r="H84" s="4">
        <v>0.31393199999999999</v>
      </c>
      <c r="I84" s="3">
        <f t="shared" si="1"/>
        <v>-2.2210000000000285E-3</v>
      </c>
    </row>
    <row r="85" spans="1:9" ht="28" x14ac:dyDescent="0.35">
      <c r="A85" s="2" t="s">
        <v>62</v>
      </c>
      <c r="B85" s="2" t="s">
        <v>66</v>
      </c>
      <c r="C85" s="2" t="s">
        <v>243</v>
      </c>
      <c r="D85" s="2" t="s">
        <v>66</v>
      </c>
      <c r="E85" s="2" t="s">
        <v>237</v>
      </c>
      <c r="F85" s="2" t="s">
        <v>235</v>
      </c>
      <c r="G85" s="4">
        <v>0.31152299999999999</v>
      </c>
      <c r="H85" s="4">
        <v>0.30156500000000003</v>
      </c>
      <c r="I85" s="3">
        <f t="shared" si="1"/>
        <v>-9.9579999999999669E-3</v>
      </c>
    </row>
    <row r="86" spans="1:9" ht="28" x14ac:dyDescent="0.35">
      <c r="A86" s="2" t="s">
        <v>62</v>
      </c>
      <c r="B86" s="2" t="s">
        <v>66</v>
      </c>
      <c r="C86" s="2" t="s">
        <v>243</v>
      </c>
      <c r="D86" s="2" t="s">
        <v>66</v>
      </c>
      <c r="E86" s="2" t="s">
        <v>238</v>
      </c>
      <c r="F86" s="2" t="s">
        <v>239</v>
      </c>
      <c r="G86" s="4">
        <v>0.79934400000000005</v>
      </c>
      <c r="H86" s="4">
        <v>0.79945100000000002</v>
      </c>
      <c r="I86" s="3">
        <f t="shared" si="1"/>
        <v>1.0699999999996823E-4</v>
      </c>
    </row>
    <row r="87" spans="1:9" ht="28" x14ac:dyDescent="0.35">
      <c r="A87" s="2" t="s">
        <v>62</v>
      </c>
      <c r="B87" s="2" t="s">
        <v>66</v>
      </c>
      <c r="C87" s="2" t="s">
        <v>243</v>
      </c>
      <c r="D87" s="2" t="s">
        <v>66</v>
      </c>
      <c r="E87" s="2" t="s">
        <v>238</v>
      </c>
      <c r="F87" s="2" t="s">
        <v>240</v>
      </c>
      <c r="G87" s="4">
        <v>0.52996799999999999</v>
      </c>
      <c r="H87" s="4">
        <v>0.53025800000000001</v>
      </c>
      <c r="I87" s="3">
        <f t="shared" si="1"/>
        <v>2.9000000000001247E-4</v>
      </c>
    </row>
    <row r="88" spans="1:9" ht="28" x14ac:dyDescent="0.35">
      <c r="A88" s="2" t="s">
        <v>62</v>
      </c>
      <c r="B88" s="2" t="s">
        <v>66</v>
      </c>
      <c r="C88" s="2" t="s">
        <v>243</v>
      </c>
      <c r="D88" s="2" t="s">
        <v>66</v>
      </c>
      <c r="E88" s="2" t="s">
        <v>241</v>
      </c>
      <c r="F88" s="2" t="s">
        <v>239</v>
      </c>
      <c r="G88" s="4">
        <v>0.82991999999999999</v>
      </c>
      <c r="H88" s="4">
        <v>0.83034300000000005</v>
      </c>
      <c r="I88" s="3">
        <f t="shared" si="1"/>
        <v>4.2300000000006222E-4</v>
      </c>
    </row>
    <row r="89" spans="1:9" ht="28" x14ac:dyDescent="0.35">
      <c r="A89" s="2" t="s">
        <v>62</v>
      </c>
      <c r="B89" s="2" t="s">
        <v>66</v>
      </c>
      <c r="C89" s="2" t="s">
        <v>243</v>
      </c>
      <c r="D89" s="2" t="s">
        <v>66</v>
      </c>
      <c r="E89" s="2" t="s">
        <v>241</v>
      </c>
      <c r="F89" s="2" t="s">
        <v>240</v>
      </c>
      <c r="G89" s="4">
        <v>0.609954</v>
      </c>
      <c r="H89" s="4">
        <v>0.60840000000000005</v>
      </c>
      <c r="I89" s="3">
        <f t="shared" si="1"/>
        <v>-1.5539999999999443E-3</v>
      </c>
    </row>
    <row r="90" spans="1:9" ht="28" x14ac:dyDescent="0.35">
      <c r="A90" s="2" t="s">
        <v>62</v>
      </c>
      <c r="B90" s="2" t="s">
        <v>66</v>
      </c>
      <c r="C90" s="2" t="s">
        <v>243</v>
      </c>
      <c r="D90" s="2" t="s">
        <v>66</v>
      </c>
      <c r="E90" s="2" t="s">
        <v>242</v>
      </c>
      <c r="F90" s="2" t="s">
        <v>239</v>
      </c>
      <c r="G90" s="4">
        <v>0.83391700000000002</v>
      </c>
      <c r="H90" s="4">
        <v>0.83266099999999998</v>
      </c>
      <c r="I90" s="3">
        <f t="shared" si="1"/>
        <v>-1.2560000000000349E-3</v>
      </c>
    </row>
    <row r="91" spans="1:9" ht="28" x14ac:dyDescent="0.35">
      <c r="A91" s="2" t="s">
        <v>62</v>
      </c>
      <c r="B91" s="2" t="s">
        <v>66</v>
      </c>
      <c r="C91" s="2" t="s">
        <v>243</v>
      </c>
      <c r="D91" s="2" t="s">
        <v>66</v>
      </c>
      <c r="E91" s="2" t="s">
        <v>242</v>
      </c>
      <c r="F91" s="2" t="s">
        <v>240</v>
      </c>
      <c r="G91" s="4">
        <v>0.619668</v>
      </c>
      <c r="H91" s="4">
        <v>0.62041800000000003</v>
      </c>
      <c r="I91" s="3">
        <f t="shared" si="1"/>
        <v>7.5000000000002842E-4</v>
      </c>
    </row>
    <row r="92" spans="1:9" ht="28" x14ac:dyDescent="0.35">
      <c r="A92" s="2" t="s">
        <v>67</v>
      </c>
      <c r="B92" s="2" t="s">
        <v>71</v>
      </c>
      <c r="C92" s="2" t="s">
        <v>243</v>
      </c>
      <c r="D92" s="2" t="s">
        <v>71</v>
      </c>
      <c r="E92" s="2" t="s">
        <v>234</v>
      </c>
      <c r="F92" s="2" t="s">
        <v>235</v>
      </c>
      <c r="G92" s="4">
        <v>0.265982</v>
      </c>
      <c r="H92" s="4">
        <v>0.26525900000000002</v>
      </c>
      <c r="I92" s="3">
        <f t="shared" si="1"/>
        <v>-7.2299999999997366E-4</v>
      </c>
    </row>
    <row r="93" spans="1:9" ht="28" x14ac:dyDescent="0.35">
      <c r="A93" s="2" t="s">
        <v>67</v>
      </c>
      <c r="B93" s="2" t="s">
        <v>71</v>
      </c>
      <c r="C93" s="2" t="s">
        <v>243</v>
      </c>
      <c r="D93" s="2" t="s">
        <v>71</v>
      </c>
      <c r="E93" s="2" t="s">
        <v>236</v>
      </c>
      <c r="F93" s="2" t="s">
        <v>235</v>
      </c>
      <c r="G93" s="4">
        <v>0.31615300000000002</v>
      </c>
      <c r="H93" s="4">
        <v>0.31140800000000002</v>
      </c>
      <c r="I93" s="3">
        <f t="shared" si="1"/>
        <v>-4.7449999999999992E-3</v>
      </c>
    </row>
    <row r="94" spans="1:9" ht="28" x14ac:dyDescent="0.35">
      <c r="A94" s="2" t="s">
        <v>67</v>
      </c>
      <c r="B94" s="2" t="s">
        <v>71</v>
      </c>
      <c r="C94" s="2" t="s">
        <v>243</v>
      </c>
      <c r="D94" s="2" t="s">
        <v>71</v>
      </c>
      <c r="E94" s="2" t="s">
        <v>237</v>
      </c>
      <c r="F94" s="2" t="s">
        <v>235</v>
      </c>
      <c r="G94" s="4">
        <v>0.31152299999999999</v>
      </c>
      <c r="H94" s="4">
        <v>0.31118000000000001</v>
      </c>
      <c r="I94" s="3">
        <f t="shared" si="1"/>
        <v>-3.4299999999998221E-4</v>
      </c>
    </row>
    <row r="95" spans="1:9" ht="28" x14ac:dyDescent="0.35">
      <c r="A95" s="2" t="s">
        <v>67</v>
      </c>
      <c r="B95" s="2" t="s">
        <v>71</v>
      </c>
      <c r="C95" s="2" t="s">
        <v>243</v>
      </c>
      <c r="D95" s="2" t="s">
        <v>71</v>
      </c>
      <c r="E95" s="2" t="s">
        <v>238</v>
      </c>
      <c r="F95" s="2" t="s">
        <v>239</v>
      </c>
      <c r="G95" s="4">
        <v>0.79934400000000005</v>
      </c>
      <c r="H95" s="4">
        <v>0.79915000000000003</v>
      </c>
      <c r="I95" s="3">
        <f t="shared" si="1"/>
        <v>-1.9400000000002748E-4</v>
      </c>
    </row>
    <row r="96" spans="1:9" ht="28" x14ac:dyDescent="0.35">
      <c r="A96" s="2" t="s">
        <v>67</v>
      </c>
      <c r="B96" s="2" t="s">
        <v>71</v>
      </c>
      <c r="C96" s="2" t="s">
        <v>243</v>
      </c>
      <c r="D96" s="2" t="s">
        <v>71</v>
      </c>
      <c r="E96" s="2" t="s">
        <v>238</v>
      </c>
      <c r="F96" s="2" t="s">
        <v>240</v>
      </c>
      <c r="G96" s="4">
        <v>0.52996799999999999</v>
      </c>
      <c r="H96" s="4">
        <v>0.52864900000000004</v>
      </c>
      <c r="I96" s="3">
        <f t="shared" si="1"/>
        <v>-1.3189999999999591E-3</v>
      </c>
    </row>
    <row r="97" spans="1:9" ht="28" x14ac:dyDescent="0.35">
      <c r="A97" s="2" t="s">
        <v>67</v>
      </c>
      <c r="B97" s="2" t="s">
        <v>71</v>
      </c>
      <c r="C97" s="2" t="s">
        <v>243</v>
      </c>
      <c r="D97" s="2" t="s">
        <v>71</v>
      </c>
      <c r="E97" s="2" t="s">
        <v>241</v>
      </c>
      <c r="F97" s="2" t="s">
        <v>239</v>
      </c>
      <c r="G97" s="4">
        <v>0.82991999999999999</v>
      </c>
      <c r="H97" s="4">
        <v>0.83435599999999999</v>
      </c>
      <c r="I97" s="3">
        <f t="shared" si="1"/>
        <v>4.4359999999999955E-3</v>
      </c>
    </row>
    <row r="98" spans="1:9" ht="28" x14ac:dyDescent="0.35">
      <c r="A98" s="2" t="s">
        <v>67</v>
      </c>
      <c r="B98" s="2" t="s">
        <v>71</v>
      </c>
      <c r="C98" s="2" t="s">
        <v>243</v>
      </c>
      <c r="D98" s="2" t="s">
        <v>71</v>
      </c>
      <c r="E98" s="2" t="s">
        <v>241</v>
      </c>
      <c r="F98" s="2" t="s">
        <v>240</v>
      </c>
      <c r="G98" s="4">
        <v>0.609954</v>
      </c>
      <c r="H98" s="4">
        <v>0.61078600000000005</v>
      </c>
      <c r="I98" s="3">
        <f t="shared" si="1"/>
        <v>8.3200000000005492E-4</v>
      </c>
    </row>
    <row r="99" spans="1:9" ht="28" x14ac:dyDescent="0.35">
      <c r="A99" s="2" t="s">
        <v>67</v>
      </c>
      <c r="B99" s="2" t="s">
        <v>71</v>
      </c>
      <c r="C99" s="2" t="s">
        <v>243</v>
      </c>
      <c r="D99" s="2" t="s">
        <v>71</v>
      </c>
      <c r="E99" s="2" t="s">
        <v>242</v>
      </c>
      <c r="F99" s="2" t="s">
        <v>239</v>
      </c>
      <c r="G99" s="4">
        <v>0.83391700000000002</v>
      </c>
      <c r="H99" s="4">
        <v>0.83699800000000002</v>
      </c>
      <c r="I99" s="3">
        <f t="shared" si="1"/>
        <v>3.0810000000000004E-3</v>
      </c>
    </row>
    <row r="100" spans="1:9" ht="28" x14ac:dyDescent="0.35">
      <c r="A100" s="2" t="s">
        <v>67</v>
      </c>
      <c r="B100" s="2" t="s">
        <v>71</v>
      </c>
      <c r="C100" s="2" t="s">
        <v>243</v>
      </c>
      <c r="D100" s="2" t="s">
        <v>71</v>
      </c>
      <c r="E100" s="2" t="s">
        <v>242</v>
      </c>
      <c r="F100" s="2" t="s">
        <v>240</v>
      </c>
      <c r="G100" s="4">
        <v>0.619668</v>
      </c>
      <c r="H100" s="4">
        <v>0.62289399999999995</v>
      </c>
      <c r="I100" s="3">
        <f t="shared" si="1"/>
        <v>3.2259999999999511E-3</v>
      </c>
    </row>
    <row r="101" spans="1:9" x14ac:dyDescent="0.35">
      <c r="A101" s="2" t="s">
        <v>72</v>
      </c>
      <c r="B101" s="2" t="s">
        <v>77</v>
      </c>
      <c r="C101" s="2" t="s">
        <v>243</v>
      </c>
      <c r="D101" s="2" t="s">
        <v>77</v>
      </c>
      <c r="E101" s="2" t="s">
        <v>234</v>
      </c>
      <c r="F101" s="2" t="s">
        <v>235</v>
      </c>
      <c r="G101" s="4">
        <v>0.265982</v>
      </c>
      <c r="H101" s="4">
        <v>0.26598500000000003</v>
      </c>
      <c r="I101" s="3">
        <f t="shared" si="1"/>
        <v>3.0000000000307558E-6</v>
      </c>
    </row>
    <row r="102" spans="1:9" x14ac:dyDescent="0.35">
      <c r="A102" s="2" t="s">
        <v>72</v>
      </c>
      <c r="B102" s="2" t="s">
        <v>77</v>
      </c>
      <c r="C102" s="2" t="s">
        <v>243</v>
      </c>
      <c r="D102" s="2" t="s">
        <v>77</v>
      </c>
      <c r="E102" s="2" t="s">
        <v>236</v>
      </c>
      <c r="F102" s="2" t="s">
        <v>235</v>
      </c>
      <c r="G102" s="4">
        <v>0.31615300000000002</v>
      </c>
      <c r="H102" s="4">
        <v>0.315326</v>
      </c>
      <c r="I102" s="3">
        <f t="shared" si="1"/>
        <v>-8.2700000000002216E-4</v>
      </c>
    </row>
    <row r="103" spans="1:9" x14ac:dyDescent="0.35">
      <c r="A103" s="2" t="s">
        <v>72</v>
      </c>
      <c r="B103" s="2" t="s">
        <v>77</v>
      </c>
      <c r="C103" s="2" t="s">
        <v>243</v>
      </c>
      <c r="D103" s="2" t="s">
        <v>77</v>
      </c>
      <c r="E103" s="2" t="s">
        <v>237</v>
      </c>
      <c r="F103" s="2" t="s">
        <v>235</v>
      </c>
      <c r="G103" s="4">
        <v>0.31152299999999999</v>
      </c>
      <c r="H103" s="4">
        <v>0.30832999999999999</v>
      </c>
      <c r="I103" s="3">
        <f t="shared" si="1"/>
        <v>-3.1930000000000014E-3</v>
      </c>
    </row>
    <row r="104" spans="1:9" ht="28" x14ac:dyDescent="0.35">
      <c r="A104" s="2" t="s">
        <v>72</v>
      </c>
      <c r="B104" s="2" t="s">
        <v>77</v>
      </c>
      <c r="C104" s="2" t="s">
        <v>243</v>
      </c>
      <c r="D104" s="2" t="s">
        <v>77</v>
      </c>
      <c r="E104" s="2" t="s">
        <v>238</v>
      </c>
      <c r="F104" s="2" t="s">
        <v>239</v>
      </c>
      <c r="G104" s="4">
        <v>0.79934400000000005</v>
      </c>
      <c r="H104" s="4">
        <v>0.79950900000000003</v>
      </c>
      <c r="I104" s="3">
        <f t="shared" si="1"/>
        <v>1.6499999999997073E-4</v>
      </c>
    </row>
    <row r="105" spans="1:9" x14ac:dyDescent="0.35">
      <c r="A105" s="2" t="s">
        <v>72</v>
      </c>
      <c r="B105" s="2" t="s">
        <v>77</v>
      </c>
      <c r="C105" s="2" t="s">
        <v>243</v>
      </c>
      <c r="D105" s="2" t="s">
        <v>77</v>
      </c>
      <c r="E105" s="2" t="s">
        <v>238</v>
      </c>
      <c r="F105" s="2" t="s">
        <v>240</v>
      </c>
      <c r="G105" s="4">
        <v>0.52996799999999999</v>
      </c>
      <c r="H105" s="4">
        <v>0.53146300000000002</v>
      </c>
      <c r="I105" s="3">
        <f t="shared" si="1"/>
        <v>1.4950000000000241E-3</v>
      </c>
    </row>
    <row r="106" spans="1:9" ht="28" x14ac:dyDescent="0.35">
      <c r="A106" s="2" t="s">
        <v>72</v>
      </c>
      <c r="B106" s="2" t="s">
        <v>77</v>
      </c>
      <c r="C106" s="2" t="s">
        <v>243</v>
      </c>
      <c r="D106" s="2" t="s">
        <v>77</v>
      </c>
      <c r="E106" s="2" t="s">
        <v>241</v>
      </c>
      <c r="F106" s="2" t="s">
        <v>239</v>
      </c>
      <c r="G106" s="4">
        <v>0.82991999999999999</v>
      </c>
      <c r="H106" s="4">
        <v>0.83347800000000005</v>
      </c>
      <c r="I106" s="3">
        <f t="shared" si="1"/>
        <v>3.5580000000000611E-3</v>
      </c>
    </row>
    <row r="107" spans="1:9" x14ac:dyDescent="0.35">
      <c r="A107" s="2" t="s">
        <v>72</v>
      </c>
      <c r="B107" s="2" t="s">
        <v>77</v>
      </c>
      <c r="C107" s="2" t="s">
        <v>243</v>
      </c>
      <c r="D107" s="2" t="s">
        <v>77</v>
      </c>
      <c r="E107" s="2" t="s">
        <v>241</v>
      </c>
      <c r="F107" s="2" t="s">
        <v>240</v>
      </c>
      <c r="G107" s="4">
        <v>0.609954</v>
      </c>
      <c r="H107" s="4">
        <v>0.61396600000000001</v>
      </c>
      <c r="I107" s="3">
        <f t="shared" si="1"/>
        <v>4.0120000000000156E-3</v>
      </c>
    </row>
    <row r="108" spans="1:9" ht="28" x14ac:dyDescent="0.35">
      <c r="A108" s="2" t="s">
        <v>72</v>
      </c>
      <c r="B108" s="2" t="s">
        <v>77</v>
      </c>
      <c r="C108" s="2" t="s">
        <v>243</v>
      </c>
      <c r="D108" s="2" t="s">
        <v>77</v>
      </c>
      <c r="E108" s="2" t="s">
        <v>242</v>
      </c>
      <c r="F108" s="2" t="s">
        <v>239</v>
      </c>
      <c r="G108" s="4">
        <v>0.83391700000000002</v>
      </c>
      <c r="H108" s="4">
        <v>0.83307299999999995</v>
      </c>
      <c r="I108" s="3">
        <f t="shared" si="1"/>
        <v>-8.4400000000006692E-4</v>
      </c>
    </row>
    <row r="109" spans="1:9" x14ac:dyDescent="0.35">
      <c r="A109" s="2" t="s">
        <v>72</v>
      </c>
      <c r="B109" s="2" t="s">
        <v>77</v>
      </c>
      <c r="C109" s="2" t="s">
        <v>243</v>
      </c>
      <c r="D109" s="2" t="s">
        <v>77</v>
      </c>
      <c r="E109" s="2" t="s">
        <v>242</v>
      </c>
      <c r="F109" s="2" t="s">
        <v>240</v>
      </c>
      <c r="G109" s="4">
        <v>0.619668</v>
      </c>
      <c r="H109" s="4">
        <v>0.62061100000000002</v>
      </c>
      <c r="I109" s="3">
        <f t="shared" si="1"/>
        <v>9.4300000000002715E-4</v>
      </c>
    </row>
    <row r="110" spans="1:9" x14ac:dyDescent="0.35">
      <c r="A110" s="2" t="s">
        <v>78</v>
      </c>
      <c r="B110" s="2" t="s">
        <v>82</v>
      </c>
      <c r="C110" s="2" t="s">
        <v>82</v>
      </c>
      <c r="D110" s="2" t="s">
        <v>233</v>
      </c>
      <c r="E110" s="2" t="s">
        <v>234</v>
      </c>
      <c r="F110" s="2" t="s">
        <v>235</v>
      </c>
      <c r="G110" s="4">
        <v>1.9293999999999999E-2</v>
      </c>
      <c r="H110" s="4">
        <v>1.8089999999999998E-2</v>
      </c>
      <c r="I110" s="3">
        <f t="shared" si="1"/>
        <v>-1.2040000000000002E-3</v>
      </c>
    </row>
    <row r="111" spans="1:9" x14ac:dyDescent="0.35">
      <c r="A111" s="2" t="s">
        <v>78</v>
      </c>
      <c r="B111" s="2" t="s">
        <v>82</v>
      </c>
      <c r="C111" s="2" t="s">
        <v>82</v>
      </c>
      <c r="D111" s="2" t="s">
        <v>233</v>
      </c>
      <c r="E111" s="2" t="s">
        <v>236</v>
      </c>
      <c r="F111" s="2" t="s">
        <v>235</v>
      </c>
      <c r="G111" s="4">
        <v>1.8152000000000001E-2</v>
      </c>
      <c r="H111" s="4">
        <v>1.6056000000000001E-2</v>
      </c>
      <c r="I111" s="3">
        <f t="shared" si="1"/>
        <v>-2.0960000000000006E-3</v>
      </c>
    </row>
    <row r="112" spans="1:9" x14ac:dyDescent="0.35">
      <c r="A112" s="2" t="s">
        <v>78</v>
      </c>
      <c r="B112" s="2" t="s">
        <v>82</v>
      </c>
      <c r="C112" s="2" t="s">
        <v>82</v>
      </c>
      <c r="D112" s="2" t="s">
        <v>233</v>
      </c>
      <c r="E112" s="2" t="s">
        <v>237</v>
      </c>
      <c r="F112" s="2" t="s">
        <v>235</v>
      </c>
      <c r="G112" s="4">
        <v>2.6574E-2</v>
      </c>
      <c r="H112" s="4">
        <v>5.4999999999999997E-3</v>
      </c>
      <c r="I112" s="3">
        <f t="shared" si="1"/>
        <v>-2.1074000000000002E-2</v>
      </c>
    </row>
    <row r="113" spans="1:9" ht="28" x14ac:dyDescent="0.35">
      <c r="A113" s="2" t="s">
        <v>78</v>
      </c>
      <c r="B113" s="2" t="s">
        <v>82</v>
      </c>
      <c r="C113" s="2" t="s">
        <v>82</v>
      </c>
      <c r="D113" s="2" t="s">
        <v>233</v>
      </c>
      <c r="E113" s="2" t="s">
        <v>238</v>
      </c>
      <c r="F113" s="2" t="s">
        <v>239</v>
      </c>
      <c r="G113" s="4">
        <v>0.63682000000000005</v>
      </c>
      <c r="H113" s="4">
        <v>0.63741999999999999</v>
      </c>
      <c r="I113" s="3">
        <f t="shared" si="1"/>
        <v>5.9999999999993392E-4</v>
      </c>
    </row>
    <row r="114" spans="1:9" x14ac:dyDescent="0.35">
      <c r="A114" s="2" t="s">
        <v>78</v>
      </c>
      <c r="B114" s="2" t="s">
        <v>82</v>
      </c>
      <c r="C114" s="2" t="s">
        <v>82</v>
      </c>
      <c r="D114" s="2" t="s">
        <v>233</v>
      </c>
      <c r="E114" s="2" t="s">
        <v>238</v>
      </c>
      <c r="F114" s="2" t="s">
        <v>240</v>
      </c>
      <c r="G114" s="4">
        <v>0.17542099999999999</v>
      </c>
      <c r="H114" s="4">
        <v>0.17575099999999999</v>
      </c>
      <c r="I114" s="3">
        <f t="shared" si="1"/>
        <v>3.2999999999999696E-4</v>
      </c>
    </row>
    <row r="115" spans="1:9" ht="28" x14ac:dyDescent="0.35">
      <c r="A115" s="2" t="s">
        <v>78</v>
      </c>
      <c r="B115" s="2" t="s">
        <v>82</v>
      </c>
      <c r="C115" s="2" t="s">
        <v>82</v>
      </c>
      <c r="D115" s="2" t="s">
        <v>233</v>
      </c>
      <c r="E115" s="2" t="s">
        <v>241</v>
      </c>
      <c r="F115" s="2" t="s">
        <v>239</v>
      </c>
      <c r="G115" s="4">
        <v>0.64645300000000006</v>
      </c>
      <c r="H115" s="4">
        <v>0.63796600000000003</v>
      </c>
      <c r="I115" s="3">
        <f t="shared" si="1"/>
        <v>-8.4870000000000223E-3</v>
      </c>
    </row>
    <row r="116" spans="1:9" x14ac:dyDescent="0.35">
      <c r="A116" s="2" t="s">
        <v>78</v>
      </c>
      <c r="B116" s="2" t="s">
        <v>82</v>
      </c>
      <c r="C116" s="2" t="s">
        <v>82</v>
      </c>
      <c r="D116" s="2" t="s">
        <v>233</v>
      </c>
      <c r="E116" s="2" t="s">
        <v>241</v>
      </c>
      <c r="F116" s="2" t="s">
        <v>240</v>
      </c>
      <c r="G116" s="4">
        <v>0.17816699999999999</v>
      </c>
      <c r="H116" s="4">
        <v>0.16984199999999999</v>
      </c>
      <c r="I116" s="3">
        <f t="shared" si="1"/>
        <v>-8.3249999999999991E-3</v>
      </c>
    </row>
    <row r="117" spans="1:9" ht="28" x14ac:dyDescent="0.35">
      <c r="A117" s="2" t="s">
        <v>78</v>
      </c>
      <c r="B117" s="2" t="s">
        <v>82</v>
      </c>
      <c r="C117" s="2" t="s">
        <v>82</v>
      </c>
      <c r="D117" s="2" t="s">
        <v>233</v>
      </c>
      <c r="E117" s="2" t="s">
        <v>242</v>
      </c>
      <c r="F117" s="2" t="s">
        <v>239</v>
      </c>
      <c r="G117" s="4">
        <v>0.66634899999999997</v>
      </c>
      <c r="H117" s="4">
        <v>0.65610599999999997</v>
      </c>
      <c r="I117" s="3">
        <f t="shared" si="1"/>
        <v>-1.0243000000000002E-2</v>
      </c>
    </row>
    <row r="118" spans="1:9" x14ac:dyDescent="0.35">
      <c r="A118" s="2" t="s">
        <v>78</v>
      </c>
      <c r="B118" s="2" t="s">
        <v>82</v>
      </c>
      <c r="C118" s="2" t="s">
        <v>82</v>
      </c>
      <c r="D118" s="2" t="s">
        <v>233</v>
      </c>
      <c r="E118" s="2" t="s">
        <v>242</v>
      </c>
      <c r="F118" s="2" t="s">
        <v>240</v>
      </c>
      <c r="G118" s="4">
        <v>0.19419500000000001</v>
      </c>
      <c r="H118" s="4">
        <v>0.18690200000000001</v>
      </c>
      <c r="I118" s="3">
        <f t="shared" si="1"/>
        <v>-7.2929999999999939E-3</v>
      </c>
    </row>
    <row r="119" spans="1:9" x14ac:dyDescent="0.35">
      <c r="A119" s="2" t="s">
        <v>83</v>
      </c>
      <c r="B119" s="2" t="s">
        <v>88</v>
      </c>
      <c r="C119" s="2" t="s">
        <v>244</v>
      </c>
      <c r="D119" s="2" t="s">
        <v>245</v>
      </c>
      <c r="E119" s="2" t="s">
        <v>234</v>
      </c>
      <c r="F119" s="2" t="s">
        <v>235</v>
      </c>
      <c r="G119" s="4">
        <v>0.245472</v>
      </c>
      <c r="H119" s="4">
        <v>0.24443899999999999</v>
      </c>
      <c r="I119" s="3">
        <f t="shared" si="1"/>
        <v>-1.0330000000000061E-3</v>
      </c>
    </row>
    <row r="120" spans="1:9" x14ac:dyDescent="0.35">
      <c r="A120" s="2" t="s">
        <v>83</v>
      </c>
      <c r="B120" s="2" t="s">
        <v>88</v>
      </c>
      <c r="C120" s="2" t="s">
        <v>244</v>
      </c>
      <c r="D120" s="2" t="s">
        <v>245</v>
      </c>
      <c r="E120" s="2" t="s">
        <v>236</v>
      </c>
      <c r="F120" s="2" t="s">
        <v>235</v>
      </c>
      <c r="G120" s="4">
        <v>0.282416</v>
      </c>
      <c r="H120" s="4">
        <v>0.28514600000000001</v>
      </c>
      <c r="I120" s="3">
        <f t="shared" si="1"/>
        <v>2.7300000000000102E-3</v>
      </c>
    </row>
    <row r="121" spans="1:9" x14ac:dyDescent="0.35">
      <c r="A121" s="2" t="s">
        <v>83</v>
      </c>
      <c r="B121" s="2" t="s">
        <v>88</v>
      </c>
      <c r="C121" s="2" t="s">
        <v>244</v>
      </c>
      <c r="D121" s="2" t="s">
        <v>245</v>
      </c>
      <c r="E121" s="2" t="s">
        <v>237</v>
      </c>
      <c r="F121" s="2" t="s">
        <v>235</v>
      </c>
      <c r="G121" s="4">
        <v>0.28014600000000001</v>
      </c>
      <c r="H121" s="4">
        <v>0.28032000000000001</v>
      </c>
      <c r="I121" s="3">
        <f t="shared" si="1"/>
        <v>1.7400000000000748E-4</v>
      </c>
    </row>
    <row r="122" spans="1:9" ht="28" x14ac:dyDescent="0.35">
      <c r="A122" s="2" t="s">
        <v>83</v>
      </c>
      <c r="B122" s="2" t="s">
        <v>88</v>
      </c>
      <c r="C122" s="2" t="s">
        <v>244</v>
      </c>
      <c r="D122" s="2" t="s">
        <v>245</v>
      </c>
      <c r="E122" s="2" t="s">
        <v>238</v>
      </c>
      <c r="F122" s="2" t="s">
        <v>239</v>
      </c>
      <c r="G122" s="4">
        <v>0.80170399999999997</v>
      </c>
      <c r="H122" s="4">
        <v>0.80329300000000003</v>
      </c>
      <c r="I122" s="3">
        <f t="shared" si="1"/>
        <v>1.5890000000000626E-3</v>
      </c>
    </row>
    <row r="123" spans="1:9" x14ac:dyDescent="0.35">
      <c r="A123" s="2" t="s">
        <v>83</v>
      </c>
      <c r="B123" s="2" t="s">
        <v>88</v>
      </c>
      <c r="C123" s="2" t="s">
        <v>244</v>
      </c>
      <c r="D123" s="2" t="s">
        <v>245</v>
      </c>
      <c r="E123" s="2" t="s">
        <v>238</v>
      </c>
      <c r="F123" s="2" t="s">
        <v>240</v>
      </c>
      <c r="G123" s="4">
        <v>0.553122</v>
      </c>
      <c r="H123" s="4">
        <v>0.55818500000000004</v>
      </c>
      <c r="I123" s="3">
        <f t="shared" si="1"/>
        <v>5.0630000000000397E-3</v>
      </c>
    </row>
    <row r="124" spans="1:9" ht="28" x14ac:dyDescent="0.35">
      <c r="A124" s="2" t="s">
        <v>83</v>
      </c>
      <c r="B124" s="2" t="s">
        <v>88</v>
      </c>
      <c r="C124" s="2" t="s">
        <v>244</v>
      </c>
      <c r="D124" s="2" t="s">
        <v>245</v>
      </c>
      <c r="E124" s="2" t="s">
        <v>241</v>
      </c>
      <c r="F124" s="2" t="s">
        <v>239</v>
      </c>
      <c r="G124" s="4">
        <v>0.82854399999999995</v>
      </c>
      <c r="H124" s="4">
        <v>0.82780200000000004</v>
      </c>
      <c r="I124" s="3">
        <f t="shared" si="1"/>
        <v>-7.419999999999094E-4</v>
      </c>
    </row>
    <row r="125" spans="1:9" x14ac:dyDescent="0.35">
      <c r="A125" s="2" t="s">
        <v>83</v>
      </c>
      <c r="B125" s="2" t="s">
        <v>88</v>
      </c>
      <c r="C125" s="2" t="s">
        <v>244</v>
      </c>
      <c r="D125" s="2" t="s">
        <v>245</v>
      </c>
      <c r="E125" s="2" t="s">
        <v>241</v>
      </c>
      <c r="F125" s="2" t="s">
        <v>240</v>
      </c>
      <c r="G125" s="4">
        <v>0.61828399999999994</v>
      </c>
      <c r="H125" s="4">
        <v>0.62460599999999999</v>
      </c>
      <c r="I125" s="3">
        <f t="shared" si="1"/>
        <v>6.3220000000000498E-3</v>
      </c>
    </row>
    <row r="126" spans="1:9" ht="28" x14ac:dyDescent="0.35">
      <c r="A126" s="2" t="s">
        <v>83</v>
      </c>
      <c r="B126" s="2" t="s">
        <v>88</v>
      </c>
      <c r="C126" s="2" t="s">
        <v>244</v>
      </c>
      <c r="D126" s="2" t="s">
        <v>245</v>
      </c>
      <c r="E126" s="2" t="s">
        <v>242</v>
      </c>
      <c r="F126" s="2" t="s">
        <v>239</v>
      </c>
      <c r="G126" s="4">
        <v>0.83161499999999999</v>
      </c>
      <c r="H126" s="4">
        <v>0.83365299999999998</v>
      </c>
      <c r="I126" s="3">
        <f t="shared" si="1"/>
        <v>2.0379999999999843E-3</v>
      </c>
    </row>
    <row r="127" spans="1:9" x14ac:dyDescent="0.35">
      <c r="A127" s="2" t="s">
        <v>83</v>
      </c>
      <c r="B127" s="2" t="s">
        <v>88</v>
      </c>
      <c r="C127" s="2" t="s">
        <v>244</v>
      </c>
      <c r="D127" s="2" t="s">
        <v>245</v>
      </c>
      <c r="E127" s="2" t="s">
        <v>242</v>
      </c>
      <c r="F127" s="2" t="s">
        <v>240</v>
      </c>
      <c r="G127" s="4">
        <v>0.63358099999999995</v>
      </c>
      <c r="H127" s="4">
        <v>0.63586399999999998</v>
      </c>
      <c r="I127" s="3">
        <f t="shared" si="1"/>
        <v>2.283000000000035E-3</v>
      </c>
    </row>
    <row r="128" spans="1:9" x14ac:dyDescent="0.35">
      <c r="A128" s="2" t="s">
        <v>90</v>
      </c>
      <c r="B128" s="2" t="s">
        <v>94</v>
      </c>
      <c r="C128" s="2" t="s">
        <v>244</v>
      </c>
      <c r="D128" s="2" t="s">
        <v>246</v>
      </c>
      <c r="E128" s="2" t="s">
        <v>234</v>
      </c>
      <c r="F128" s="2" t="s">
        <v>235</v>
      </c>
      <c r="G128" s="4">
        <v>0.245472</v>
      </c>
      <c r="H128" s="4">
        <v>0.245472</v>
      </c>
      <c r="I128" s="3">
        <f t="shared" si="1"/>
        <v>0</v>
      </c>
    </row>
    <row r="129" spans="1:9" x14ac:dyDescent="0.35">
      <c r="A129" s="2" t="s">
        <v>90</v>
      </c>
      <c r="B129" s="2" t="s">
        <v>94</v>
      </c>
      <c r="C129" s="2" t="s">
        <v>244</v>
      </c>
      <c r="D129" s="2" t="s">
        <v>246</v>
      </c>
      <c r="E129" s="2" t="s">
        <v>236</v>
      </c>
      <c r="F129" s="2" t="s">
        <v>235</v>
      </c>
      <c r="G129" s="4">
        <v>0.282416</v>
      </c>
      <c r="H129" s="4">
        <v>0.282198</v>
      </c>
      <c r="I129" s="3">
        <f t="shared" si="1"/>
        <v>-2.1799999999999597E-4</v>
      </c>
    </row>
    <row r="130" spans="1:9" x14ac:dyDescent="0.35">
      <c r="A130" s="2" t="s">
        <v>90</v>
      </c>
      <c r="B130" s="2" t="s">
        <v>94</v>
      </c>
      <c r="C130" s="2" t="s">
        <v>244</v>
      </c>
      <c r="D130" s="2" t="s">
        <v>246</v>
      </c>
      <c r="E130" s="2" t="s">
        <v>237</v>
      </c>
      <c r="F130" s="2" t="s">
        <v>235</v>
      </c>
      <c r="G130" s="4">
        <v>0.28014600000000001</v>
      </c>
      <c r="H130" s="4">
        <v>0.278947</v>
      </c>
      <c r="I130" s="3">
        <f t="shared" ref="I130:I193" si="2">H130-G130</f>
        <v>-1.1990000000000056E-3</v>
      </c>
    </row>
    <row r="131" spans="1:9" ht="28" x14ac:dyDescent="0.35">
      <c r="A131" s="2" t="s">
        <v>90</v>
      </c>
      <c r="B131" s="2" t="s">
        <v>94</v>
      </c>
      <c r="C131" s="2" t="s">
        <v>244</v>
      </c>
      <c r="D131" s="2" t="s">
        <v>246</v>
      </c>
      <c r="E131" s="2" t="s">
        <v>238</v>
      </c>
      <c r="F131" s="2" t="s">
        <v>239</v>
      </c>
      <c r="G131" s="4">
        <v>0.80169299999999999</v>
      </c>
      <c r="H131" s="4">
        <v>0.80151700000000003</v>
      </c>
      <c r="I131" s="3">
        <f t="shared" si="2"/>
        <v>-1.7599999999995397E-4</v>
      </c>
    </row>
    <row r="132" spans="1:9" x14ac:dyDescent="0.35">
      <c r="A132" s="2" t="s">
        <v>90</v>
      </c>
      <c r="B132" s="2" t="s">
        <v>94</v>
      </c>
      <c r="C132" s="2" t="s">
        <v>244</v>
      </c>
      <c r="D132" s="2" t="s">
        <v>246</v>
      </c>
      <c r="E132" s="2" t="s">
        <v>238</v>
      </c>
      <c r="F132" s="2" t="s">
        <v>240</v>
      </c>
      <c r="G132" s="4">
        <v>0.55311999999999995</v>
      </c>
      <c r="H132" s="4">
        <v>0.55298400000000003</v>
      </c>
      <c r="I132" s="3">
        <f t="shared" si="2"/>
        <v>-1.3599999999991397E-4</v>
      </c>
    </row>
    <row r="133" spans="1:9" ht="28" x14ac:dyDescent="0.35">
      <c r="A133" s="2" t="s">
        <v>90</v>
      </c>
      <c r="B133" s="2" t="s">
        <v>94</v>
      </c>
      <c r="C133" s="2" t="s">
        <v>244</v>
      </c>
      <c r="D133" s="2" t="s">
        <v>246</v>
      </c>
      <c r="E133" s="2" t="s">
        <v>241</v>
      </c>
      <c r="F133" s="2" t="s">
        <v>239</v>
      </c>
      <c r="G133" s="4">
        <v>0.82854399999999995</v>
      </c>
      <c r="H133" s="4">
        <v>0.82472800000000002</v>
      </c>
      <c r="I133" s="3">
        <f t="shared" si="2"/>
        <v>-3.8159999999999306E-3</v>
      </c>
    </row>
    <row r="134" spans="1:9" x14ac:dyDescent="0.35">
      <c r="A134" s="2" t="s">
        <v>90</v>
      </c>
      <c r="B134" s="2" t="s">
        <v>94</v>
      </c>
      <c r="C134" s="2" t="s">
        <v>244</v>
      </c>
      <c r="D134" s="2" t="s">
        <v>246</v>
      </c>
      <c r="E134" s="2" t="s">
        <v>241</v>
      </c>
      <c r="F134" s="2" t="s">
        <v>240</v>
      </c>
      <c r="G134" s="4">
        <v>0.61828399999999994</v>
      </c>
      <c r="H134" s="4">
        <v>0.61881600000000003</v>
      </c>
      <c r="I134" s="3">
        <f t="shared" si="2"/>
        <v>5.3200000000008796E-4</v>
      </c>
    </row>
    <row r="135" spans="1:9" ht="28" x14ac:dyDescent="0.35">
      <c r="A135" s="2" t="s">
        <v>90</v>
      </c>
      <c r="B135" s="2" t="s">
        <v>94</v>
      </c>
      <c r="C135" s="2" t="s">
        <v>244</v>
      </c>
      <c r="D135" s="2" t="s">
        <v>246</v>
      </c>
      <c r="E135" s="2" t="s">
        <v>242</v>
      </c>
      <c r="F135" s="2" t="s">
        <v>239</v>
      </c>
      <c r="G135" s="4">
        <v>0.83161499999999999</v>
      </c>
      <c r="H135" s="4">
        <v>0.83027799999999996</v>
      </c>
      <c r="I135" s="3">
        <f t="shared" si="2"/>
        <v>-1.3370000000000326E-3</v>
      </c>
    </row>
    <row r="136" spans="1:9" x14ac:dyDescent="0.35">
      <c r="A136" s="2" t="s">
        <v>90</v>
      </c>
      <c r="B136" s="2" t="s">
        <v>94</v>
      </c>
      <c r="C136" s="2" t="s">
        <v>244</v>
      </c>
      <c r="D136" s="2" t="s">
        <v>246</v>
      </c>
      <c r="E136" s="2" t="s">
        <v>242</v>
      </c>
      <c r="F136" s="2" t="s">
        <v>240</v>
      </c>
      <c r="G136" s="4">
        <v>0.63358099999999995</v>
      </c>
      <c r="H136" s="4">
        <v>0.63258300000000001</v>
      </c>
      <c r="I136" s="3">
        <f t="shared" si="2"/>
        <v>-9.9799999999994338E-4</v>
      </c>
    </row>
    <row r="137" spans="1:9" x14ac:dyDescent="0.35">
      <c r="A137" s="2" t="s">
        <v>95</v>
      </c>
      <c r="B137" s="2" t="s">
        <v>94</v>
      </c>
      <c r="C137" s="2" t="s">
        <v>244</v>
      </c>
      <c r="D137" s="2" t="s">
        <v>247</v>
      </c>
      <c r="E137" s="2" t="s">
        <v>234</v>
      </c>
      <c r="F137" s="2" t="s">
        <v>235</v>
      </c>
      <c r="G137" s="4">
        <v>0.245472</v>
      </c>
      <c r="H137" s="4">
        <v>0.24547099999999999</v>
      </c>
      <c r="I137" s="3">
        <f t="shared" si="2"/>
        <v>-1.0000000000010001E-6</v>
      </c>
    </row>
    <row r="138" spans="1:9" x14ac:dyDescent="0.35">
      <c r="A138" s="2" t="s">
        <v>95</v>
      </c>
      <c r="B138" s="2" t="s">
        <v>94</v>
      </c>
      <c r="C138" s="2" t="s">
        <v>244</v>
      </c>
      <c r="D138" s="2" t="s">
        <v>247</v>
      </c>
      <c r="E138" s="2" t="s">
        <v>236</v>
      </c>
      <c r="F138" s="2" t="s">
        <v>235</v>
      </c>
      <c r="G138" s="4">
        <v>0.282416</v>
      </c>
      <c r="H138" s="4">
        <v>0.27754899999999999</v>
      </c>
      <c r="I138" s="3">
        <f t="shared" si="2"/>
        <v>-4.8670000000000102E-3</v>
      </c>
    </row>
    <row r="139" spans="1:9" x14ac:dyDescent="0.35">
      <c r="A139" s="2" t="s">
        <v>95</v>
      </c>
      <c r="B139" s="2" t="s">
        <v>94</v>
      </c>
      <c r="C139" s="2" t="s">
        <v>244</v>
      </c>
      <c r="D139" s="2" t="s">
        <v>247</v>
      </c>
      <c r="E139" s="2" t="s">
        <v>237</v>
      </c>
      <c r="F139" s="2" t="s">
        <v>235</v>
      </c>
      <c r="G139" s="4">
        <v>0.28014600000000001</v>
      </c>
      <c r="H139" s="4">
        <v>0.27981800000000001</v>
      </c>
      <c r="I139" s="3">
        <f t="shared" si="2"/>
        <v>-3.2799999999999496E-4</v>
      </c>
    </row>
    <row r="140" spans="1:9" ht="28" x14ac:dyDescent="0.35">
      <c r="A140" s="2" t="s">
        <v>95</v>
      </c>
      <c r="B140" s="2" t="s">
        <v>94</v>
      </c>
      <c r="C140" s="2" t="s">
        <v>244</v>
      </c>
      <c r="D140" s="2" t="s">
        <v>247</v>
      </c>
      <c r="E140" s="2" t="s">
        <v>238</v>
      </c>
      <c r="F140" s="2" t="s">
        <v>239</v>
      </c>
      <c r="G140" s="4">
        <v>0.80169299999999999</v>
      </c>
      <c r="H140" s="4">
        <v>0.80143600000000004</v>
      </c>
      <c r="I140" s="3">
        <f t="shared" si="2"/>
        <v>-2.5699999999995171E-4</v>
      </c>
    </row>
    <row r="141" spans="1:9" x14ac:dyDescent="0.35">
      <c r="A141" s="2" t="s">
        <v>95</v>
      </c>
      <c r="B141" s="2" t="s">
        <v>94</v>
      </c>
      <c r="C141" s="2" t="s">
        <v>244</v>
      </c>
      <c r="D141" s="2" t="s">
        <v>247</v>
      </c>
      <c r="E141" s="2" t="s">
        <v>238</v>
      </c>
      <c r="F141" s="2" t="s">
        <v>240</v>
      </c>
      <c r="G141" s="4">
        <v>0.55311999999999995</v>
      </c>
      <c r="H141" s="4">
        <v>0.55329499999999998</v>
      </c>
      <c r="I141" s="3">
        <f t="shared" si="2"/>
        <v>1.7500000000003624E-4</v>
      </c>
    </row>
    <row r="142" spans="1:9" ht="28" x14ac:dyDescent="0.35">
      <c r="A142" s="2" t="s">
        <v>95</v>
      </c>
      <c r="B142" s="2" t="s">
        <v>94</v>
      </c>
      <c r="C142" s="2" t="s">
        <v>244</v>
      </c>
      <c r="D142" s="2" t="s">
        <v>247</v>
      </c>
      <c r="E142" s="2" t="s">
        <v>241</v>
      </c>
      <c r="F142" s="2" t="s">
        <v>239</v>
      </c>
      <c r="G142" s="4">
        <v>0.82854399999999995</v>
      </c>
      <c r="H142" s="4">
        <v>0.819102</v>
      </c>
      <c r="I142" s="3">
        <f t="shared" si="2"/>
        <v>-9.4419999999999504E-3</v>
      </c>
    </row>
    <row r="143" spans="1:9" x14ac:dyDescent="0.35">
      <c r="A143" s="2" t="s">
        <v>95</v>
      </c>
      <c r="B143" s="2" t="s">
        <v>94</v>
      </c>
      <c r="C143" s="2" t="s">
        <v>244</v>
      </c>
      <c r="D143" s="2" t="s">
        <v>247</v>
      </c>
      <c r="E143" s="2" t="s">
        <v>241</v>
      </c>
      <c r="F143" s="2" t="s">
        <v>240</v>
      </c>
      <c r="G143" s="4">
        <v>0.61828399999999994</v>
      </c>
      <c r="H143" s="4">
        <v>0.61846400000000001</v>
      </c>
      <c r="I143" s="3">
        <f t="shared" si="2"/>
        <v>1.8000000000006899E-4</v>
      </c>
    </row>
    <row r="144" spans="1:9" ht="28" x14ac:dyDescent="0.35">
      <c r="A144" s="2" t="s">
        <v>95</v>
      </c>
      <c r="B144" s="2" t="s">
        <v>94</v>
      </c>
      <c r="C144" s="2" t="s">
        <v>244</v>
      </c>
      <c r="D144" s="2" t="s">
        <v>247</v>
      </c>
      <c r="E144" s="2" t="s">
        <v>242</v>
      </c>
      <c r="F144" s="2" t="s">
        <v>239</v>
      </c>
      <c r="G144" s="4">
        <v>0.83161499999999999</v>
      </c>
      <c r="H144" s="4">
        <v>0.82713400000000004</v>
      </c>
      <c r="I144" s="3">
        <f t="shared" si="2"/>
        <v>-4.4809999999999572E-3</v>
      </c>
    </row>
    <row r="145" spans="1:9" x14ac:dyDescent="0.35">
      <c r="A145" s="2" t="s">
        <v>95</v>
      </c>
      <c r="B145" s="2" t="s">
        <v>94</v>
      </c>
      <c r="C145" s="2" t="s">
        <v>244</v>
      </c>
      <c r="D145" s="2" t="s">
        <v>247</v>
      </c>
      <c r="E145" s="2" t="s">
        <v>242</v>
      </c>
      <c r="F145" s="2" t="s">
        <v>240</v>
      </c>
      <c r="G145" s="4">
        <v>0.63358099999999995</v>
      </c>
      <c r="H145" s="4">
        <v>0.63261800000000001</v>
      </c>
      <c r="I145" s="3">
        <f t="shared" si="2"/>
        <v>-9.6299999999993613E-4</v>
      </c>
    </row>
    <row r="146" spans="1:9" x14ac:dyDescent="0.35">
      <c r="A146" s="2" t="s">
        <v>99</v>
      </c>
      <c r="B146" s="2" t="s">
        <v>104</v>
      </c>
      <c r="C146" s="2" t="s">
        <v>244</v>
      </c>
      <c r="D146" s="2" t="s">
        <v>248</v>
      </c>
      <c r="E146" s="2" t="s">
        <v>234</v>
      </c>
      <c r="F146" s="2" t="s">
        <v>235</v>
      </c>
      <c r="G146" s="4">
        <v>0.245472</v>
      </c>
      <c r="H146" s="4">
        <v>0.244948</v>
      </c>
      <c r="I146" s="3">
        <f t="shared" si="2"/>
        <v>-5.2399999999999669E-4</v>
      </c>
    </row>
    <row r="147" spans="1:9" x14ac:dyDescent="0.35">
      <c r="A147" s="2" t="s">
        <v>99</v>
      </c>
      <c r="B147" s="2" t="s">
        <v>104</v>
      </c>
      <c r="C147" s="2" t="s">
        <v>244</v>
      </c>
      <c r="D147" s="2" t="s">
        <v>248</v>
      </c>
      <c r="E147" s="2" t="s">
        <v>236</v>
      </c>
      <c r="F147" s="2" t="s">
        <v>235</v>
      </c>
      <c r="G147" s="4">
        <v>0.282416</v>
      </c>
      <c r="H147" s="4">
        <v>0.28242200000000001</v>
      </c>
      <c r="I147" s="3">
        <f t="shared" si="2"/>
        <v>6.0000000000060005E-6</v>
      </c>
    </row>
    <row r="148" spans="1:9" x14ac:dyDescent="0.35">
      <c r="A148" s="2" t="s">
        <v>99</v>
      </c>
      <c r="B148" s="2" t="s">
        <v>104</v>
      </c>
      <c r="C148" s="2" t="s">
        <v>244</v>
      </c>
      <c r="D148" s="2" t="s">
        <v>248</v>
      </c>
      <c r="E148" s="2" t="s">
        <v>237</v>
      </c>
      <c r="F148" s="2" t="s">
        <v>235</v>
      </c>
      <c r="G148" s="4">
        <v>0.28014600000000001</v>
      </c>
      <c r="H148" s="4">
        <v>0.26226899999999997</v>
      </c>
      <c r="I148" s="3">
        <f t="shared" si="2"/>
        <v>-1.7877000000000032E-2</v>
      </c>
    </row>
    <row r="149" spans="1:9" ht="28" x14ac:dyDescent="0.35">
      <c r="A149" s="2" t="s">
        <v>99</v>
      </c>
      <c r="B149" s="2" t="s">
        <v>104</v>
      </c>
      <c r="C149" s="2" t="s">
        <v>244</v>
      </c>
      <c r="D149" s="2" t="s">
        <v>248</v>
      </c>
      <c r="E149" s="2" t="s">
        <v>238</v>
      </c>
      <c r="F149" s="2" t="s">
        <v>239</v>
      </c>
      <c r="G149" s="4">
        <v>0.80169999999999997</v>
      </c>
      <c r="H149" s="4">
        <v>0.80154099999999995</v>
      </c>
      <c r="I149" s="3">
        <f t="shared" si="2"/>
        <v>-1.5900000000002024E-4</v>
      </c>
    </row>
    <row r="150" spans="1:9" x14ac:dyDescent="0.35">
      <c r="A150" s="2" t="s">
        <v>99</v>
      </c>
      <c r="B150" s="2" t="s">
        <v>104</v>
      </c>
      <c r="C150" s="2" t="s">
        <v>244</v>
      </c>
      <c r="D150" s="2" t="s">
        <v>248</v>
      </c>
      <c r="E150" s="2" t="s">
        <v>238</v>
      </c>
      <c r="F150" s="2" t="s">
        <v>240</v>
      </c>
      <c r="G150" s="4">
        <v>0.553118</v>
      </c>
      <c r="H150" s="4">
        <v>0.55227000000000004</v>
      </c>
      <c r="I150" s="3">
        <f t="shared" si="2"/>
        <v>-8.479999999999599E-4</v>
      </c>
    </row>
    <row r="151" spans="1:9" ht="28" x14ac:dyDescent="0.35">
      <c r="A151" s="2" t="s">
        <v>99</v>
      </c>
      <c r="B151" s="2" t="s">
        <v>104</v>
      </c>
      <c r="C151" s="2" t="s">
        <v>244</v>
      </c>
      <c r="D151" s="2" t="s">
        <v>248</v>
      </c>
      <c r="E151" s="2" t="s">
        <v>241</v>
      </c>
      <c r="F151" s="2" t="s">
        <v>239</v>
      </c>
      <c r="G151" s="4">
        <v>0.82854399999999995</v>
      </c>
      <c r="H151" s="4">
        <v>0.82623199999999997</v>
      </c>
      <c r="I151" s="3">
        <f t="shared" si="2"/>
        <v>-2.3119999999999807E-3</v>
      </c>
    </row>
    <row r="152" spans="1:9" x14ac:dyDescent="0.35">
      <c r="A152" s="2" t="s">
        <v>99</v>
      </c>
      <c r="B152" s="2" t="s">
        <v>104</v>
      </c>
      <c r="C152" s="2" t="s">
        <v>244</v>
      </c>
      <c r="D152" s="2" t="s">
        <v>248</v>
      </c>
      <c r="E152" s="2" t="s">
        <v>241</v>
      </c>
      <c r="F152" s="2" t="s">
        <v>240</v>
      </c>
      <c r="G152" s="4">
        <v>0.61828399999999994</v>
      </c>
      <c r="H152" s="4">
        <v>0.61429500000000004</v>
      </c>
      <c r="I152" s="3">
        <f t="shared" si="2"/>
        <v>-3.9889999999999093E-3</v>
      </c>
    </row>
    <row r="153" spans="1:9" ht="28" x14ac:dyDescent="0.35">
      <c r="A153" s="2" t="s">
        <v>99</v>
      </c>
      <c r="B153" s="2" t="s">
        <v>104</v>
      </c>
      <c r="C153" s="2" t="s">
        <v>244</v>
      </c>
      <c r="D153" s="2" t="s">
        <v>248</v>
      </c>
      <c r="E153" s="2" t="s">
        <v>242</v>
      </c>
      <c r="F153" s="2" t="s">
        <v>239</v>
      </c>
      <c r="G153" s="4">
        <v>0.83161499999999999</v>
      </c>
      <c r="H153" s="4">
        <v>0.83140400000000003</v>
      </c>
      <c r="I153" s="3">
        <f t="shared" si="2"/>
        <v>-2.1099999999996122E-4</v>
      </c>
    </row>
    <row r="154" spans="1:9" x14ac:dyDescent="0.35">
      <c r="A154" s="2" t="s">
        <v>99</v>
      </c>
      <c r="B154" s="2" t="s">
        <v>104</v>
      </c>
      <c r="C154" s="2" t="s">
        <v>244</v>
      </c>
      <c r="D154" s="2" t="s">
        <v>248</v>
      </c>
      <c r="E154" s="2" t="s">
        <v>242</v>
      </c>
      <c r="F154" s="2" t="s">
        <v>240</v>
      </c>
      <c r="G154" s="4">
        <v>0.63358099999999995</v>
      </c>
      <c r="H154" s="4">
        <v>0.63296600000000003</v>
      </c>
      <c r="I154" s="3">
        <f t="shared" si="2"/>
        <v>-6.1499999999992117E-4</v>
      </c>
    </row>
    <row r="155" spans="1:9" x14ac:dyDescent="0.35">
      <c r="A155" s="2" t="s">
        <v>105</v>
      </c>
      <c r="B155" s="2" t="s">
        <v>104</v>
      </c>
      <c r="C155" s="2" t="s">
        <v>244</v>
      </c>
      <c r="D155" s="2" t="s">
        <v>249</v>
      </c>
      <c r="E155" s="2" t="s">
        <v>234</v>
      </c>
      <c r="F155" s="2" t="s">
        <v>235</v>
      </c>
      <c r="G155" s="4">
        <v>0.245472</v>
      </c>
      <c r="H155" s="4">
        <v>0.24443400000000001</v>
      </c>
      <c r="I155" s="3">
        <f t="shared" si="2"/>
        <v>-1.0379999999999834E-3</v>
      </c>
    </row>
    <row r="156" spans="1:9" x14ac:dyDescent="0.35">
      <c r="A156" s="2" t="s">
        <v>105</v>
      </c>
      <c r="B156" s="2" t="s">
        <v>104</v>
      </c>
      <c r="C156" s="2" t="s">
        <v>244</v>
      </c>
      <c r="D156" s="2" t="s">
        <v>249</v>
      </c>
      <c r="E156" s="2" t="s">
        <v>236</v>
      </c>
      <c r="F156" s="2" t="s">
        <v>235</v>
      </c>
      <c r="G156" s="4">
        <v>0.282416</v>
      </c>
      <c r="H156" s="4">
        <v>0.28104099999999999</v>
      </c>
      <c r="I156" s="3">
        <f t="shared" si="2"/>
        <v>-1.3750000000000151E-3</v>
      </c>
    </row>
    <row r="157" spans="1:9" x14ac:dyDescent="0.35">
      <c r="A157" s="2" t="s">
        <v>105</v>
      </c>
      <c r="B157" s="2" t="s">
        <v>104</v>
      </c>
      <c r="C157" s="2" t="s">
        <v>244</v>
      </c>
      <c r="D157" s="2" t="s">
        <v>249</v>
      </c>
      <c r="E157" s="2" t="s">
        <v>237</v>
      </c>
      <c r="F157" s="2" t="s">
        <v>235</v>
      </c>
      <c r="G157" s="4">
        <v>0.28014600000000001</v>
      </c>
      <c r="H157" s="4">
        <v>0.27860800000000002</v>
      </c>
      <c r="I157" s="3">
        <f t="shared" si="2"/>
        <v>-1.5379999999999838E-3</v>
      </c>
    </row>
    <row r="158" spans="1:9" ht="28" x14ac:dyDescent="0.35">
      <c r="A158" s="2" t="s">
        <v>105</v>
      </c>
      <c r="B158" s="2" t="s">
        <v>104</v>
      </c>
      <c r="C158" s="2" t="s">
        <v>244</v>
      </c>
      <c r="D158" s="2" t="s">
        <v>249</v>
      </c>
      <c r="E158" s="2" t="s">
        <v>238</v>
      </c>
      <c r="F158" s="2" t="s">
        <v>239</v>
      </c>
      <c r="G158" s="4">
        <v>0.80169999999999997</v>
      </c>
      <c r="H158" s="4">
        <v>0.79889299999999996</v>
      </c>
      <c r="I158" s="3">
        <f t="shared" si="2"/>
        <v>-2.8070000000000039E-3</v>
      </c>
    </row>
    <row r="159" spans="1:9" x14ac:dyDescent="0.35">
      <c r="A159" s="2" t="s">
        <v>105</v>
      </c>
      <c r="B159" s="2" t="s">
        <v>104</v>
      </c>
      <c r="C159" s="2" t="s">
        <v>244</v>
      </c>
      <c r="D159" s="2" t="s">
        <v>249</v>
      </c>
      <c r="E159" s="2" t="s">
        <v>238</v>
      </c>
      <c r="F159" s="2" t="s">
        <v>240</v>
      </c>
      <c r="G159" s="4">
        <v>0.553118</v>
      </c>
      <c r="H159" s="4">
        <v>0.55396100000000004</v>
      </c>
      <c r="I159" s="3">
        <f t="shared" si="2"/>
        <v>8.4300000000003816E-4</v>
      </c>
    </row>
    <row r="160" spans="1:9" ht="28" x14ac:dyDescent="0.35">
      <c r="A160" s="2" t="s">
        <v>105</v>
      </c>
      <c r="B160" s="2" t="s">
        <v>104</v>
      </c>
      <c r="C160" s="2" t="s">
        <v>244</v>
      </c>
      <c r="D160" s="2" t="s">
        <v>249</v>
      </c>
      <c r="E160" s="2" t="s">
        <v>241</v>
      </c>
      <c r="F160" s="2" t="s">
        <v>239</v>
      </c>
      <c r="G160" s="4">
        <v>0.82854399999999995</v>
      </c>
      <c r="H160" s="4">
        <v>0.82665100000000002</v>
      </c>
      <c r="I160" s="3">
        <f t="shared" si="2"/>
        <v>-1.8929999999999225E-3</v>
      </c>
    </row>
    <row r="161" spans="1:9" x14ac:dyDescent="0.35">
      <c r="A161" s="2" t="s">
        <v>105</v>
      </c>
      <c r="B161" s="2" t="s">
        <v>104</v>
      </c>
      <c r="C161" s="2" t="s">
        <v>244</v>
      </c>
      <c r="D161" s="2" t="s">
        <v>249</v>
      </c>
      <c r="E161" s="2" t="s">
        <v>241</v>
      </c>
      <c r="F161" s="2" t="s">
        <v>240</v>
      </c>
      <c r="G161" s="4">
        <v>0.61828399999999994</v>
      </c>
      <c r="H161" s="4">
        <v>0.61968199999999996</v>
      </c>
      <c r="I161" s="3">
        <f t="shared" si="2"/>
        <v>1.3980000000000103E-3</v>
      </c>
    </row>
    <row r="162" spans="1:9" ht="28" x14ac:dyDescent="0.35">
      <c r="A162" s="2" t="s">
        <v>105</v>
      </c>
      <c r="B162" s="2" t="s">
        <v>104</v>
      </c>
      <c r="C162" s="2" t="s">
        <v>244</v>
      </c>
      <c r="D162" s="2" t="s">
        <v>249</v>
      </c>
      <c r="E162" s="2" t="s">
        <v>242</v>
      </c>
      <c r="F162" s="2" t="s">
        <v>239</v>
      </c>
      <c r="G162" s="4">
        <v>0.83161499999999999</v>
      </c>
      <c r="H162" s="4">
        <v>0.82896999999999998</v>
      </c>
      <c r="I162" s="3">
        <f t="shared" si="2"/>
        <v>-2.6450000000000085E-3</v>
      </c>
    </row>
    <row r="163" spans="1:9" x14ac:dyDescent="0.35">
      <c r="A163" s="2" t="s">
        <v>105</v>
      </c>
      <c r="B163" s="2" t="s">
        <v>104</v>
      </c>
      <c r="C163" s="2" t="s">
        <v>244</v>
      </c>
      <c r="D163" s="2" t="s">
        <v>249</v>
      </c>
      <c r="E163" s="2" t="s">
        <v>242</v>
      </c>
      <c r="F163" s="2" t="s">
        <v>240</v>
      </c>
      <c r="G163" s="4">
        <v>0.63358099999999995</v>
      </c>
      <c r="H163" s="4">
        <v>0.63250700000000004</v>
      </c>
      <c r="I163" s="3">
        <f t="shared" si="2"/>
        <v>-1.0739999999999084E-3</v>
      </c>
    </row>
    <row r="164" spans="1:9" x14ac:dyDescent="0.35">
      <c r="A164" s="2" t="s">
        <v>109</v>
      </c>
      <c r="B164" s="2" t="s">
        <v>114</v>
      </c>
      <c r="C164" s="2" t="s">
        <v>244</v>
      </c>
      <c r="D164" s="2" t="s">
        <v>250</v>
      </c>
      <c r="E164" s="2" t="s">
        <v>234</v>
      </c>
      <c r="F164" s="2" t="s">
        <v>235</v>
      </c>
      <c r="G164" s="4">
        <v>0.245472</v>
      </c>
      <c r="H164" s="4">
        <v>0.24496899999999999</v>
      </c>
      <c r="I164" s="3">
        <f t="shared" si="2"/>
        <v>-5.0300000000000344E-4</v>
      </c>
    </row>
    <row r="165" spans="1:9" x14ac:dyDescent="0.35">
      <c r="A165" s="2" t="s">
        <v>109</v>
      </c>
      <c r="B165" s="2" t="s">
        <v>114</v>
      </c>
      <c r="C165" s="2" t="s">
        <v>244</v>
      </c>
      <c r="D165" s="2" t="s">
        <v>250</v>
      </c>
      <c r="E165" s="2" t="s">
        <v>236</v>
      </c>
      <c r="F165" s="2" t="s">
        <v>235</v>
      </c>
      <c r="G165" s="4">
        <v>0.282416</v>
      </c>
      <c r="H165" s="4">
        <v>0.28023100000000001</v>
      </c>
      <c r="I165" s="3">
        <f t="shared" si="2"/>
        <v>-2.1849999999999925E-3</v>
      </c>
    </row>
    <row r="166" spans="1:9" x14ac:dyDescent="0.35">
      <c r="A166" s="2" t="s">
        <v>109</v>
      </c>
      <c r="B166" s="2" t="s">
        <v>114</v>
      </c>
      <c r="C166" s="2" t="s">
        <v>244</v>
      </c>
      <c r="D166" s="2" t="s">
        <v>250</v>
      </c>
      <c r="E166" s="2" t="s">
        <v>237</v>
      </c>
      <c r="F166" s="2" t="s">
        <v>235</v>
      </c>
      <c r="G166" s="4">
        <v>0.28014600000000001</v>
      </c>
      <c r="H166" s="4">
        <v>0.27861900000000001</v>
      </c>
      <c r="I166" s="3">
        <f t="shared" si="2"/>
        <v>-1.5270000000000006E-3</v>
      </c>
    </row>
    <row r="167" spans="1:9" ht="28" x14ac:dyDescent="0.35">
      <c r="A167" s="2" t="s">
        <v>109</v>
      </c>
      <c r="B167" s="2" t="s">
        <v>114</v>
      </c>
      <c r="C167" s="2" t="s">
        <v>244</v>
      </c>
      <c r="D167" s="2" t="s">
        <v>250</v>
      </c>
      <c r="E167" s="2" t="s">
        <v>238</v>
      </c>
      <c r="F167" s="2" t="s">
        <v>239</v>
      </c>
      <c r="G167" s="4">
        <v>0.80169800000000002</v>
      </c>
      <c r="H167" s="4">
        <v>0.80155600000000005</v>
      </c>
      <c r="I167" s="3">
        <f t="shared" si="2"/>
        <v>-1.4199999999997548E-4</v>
      </c>
    </row>
    <row r="168" spans="1:9" x14ac:dyDescent="0.35">
      <c r="A168" s="2" t="s">
        <v>109</v>
      </c>
      <c r="B168" s="2" t="s">
        <v>114</v>
      </c>
      <c r="C168" s="2" t="s">
        <v>244</v>
      </c>
      <c r="D168" s="2" t="s">
        <v>250</v>
      </c>
      <c r="E168" s="2" t="s">
        <v>238</v>
      </c>
      <c r="F168" s="2" t="s">
        <v>240</v>
      </c>
      <c r="G168" s="4">
        <v>0.55312099999999997</v>
      </c>
      <c r="H168" s="4">
        <v>0.55230900000000005</v>
      </c>
      <c r="I168" s="3">
        <f t="shared" si="2"/>
        <v>-8.1199999999992389E-4</v>
      </c>
    </row>
    <row r="169" spans="1:9" ht="28" x14ac:dyDescent="0.35">
      <c r="A169" s="2" t="s">
        <v>109</v>
      </c>
      <c r="B169" s="2" t="s">
        <v>114</v>
      </c>
      <c r="C169" s="2" t="s">
        <v>244</v>
      </c>
      <c r="D169" s="2" t="s">
        <v>250</v>
      </c>
      <c r="E169" s="2" t="s">
        <v>241</v>
      </c>
      <c r="F169" s="2" t="s">
        <v>239</v>
      </c>
      <c r="G169" s="4">
        <v>0.82854399999999995</v>
      </c>
      <c r="H169" s="4">
        <v>0.82579100000000005</v>
      </c>
      <c r="I169" s="3">
        <f t="shared" si="2"/>
        <v>-2.7529999999998944E-3</v>
      </c>
    </row>
    <row r="170" spans="1:9" x14ac:dyDescent="0.35">
      <c r="A170" s="2" t="s">
        <v>109</v>
      </c>
      <c r="B170" s="2" t="s">
        <v>114</v>
      </c>
      <c r="C170" s="2" t="s">
        <v>244</v>
      </c>
      <c r="D170" s="2" t="s">
        <v>250</v>
      </c>
      <c r="E170" s="2" t="s">
        <v>241</v>
      </c>
      <c r="F170" s="2" t="s">
        <v>240</v>
      </c>
      <c r="G170" s="4">
        <v>0.61828399999999994</v>
      </c>
      <c r="H170" s="4">
        <v>0.61740300000000004</v>
      </c>
      <c r="I170" s="3">
        <f t="shared" si="2"/>
        <v>-8.8099999999990963E-4</v>
      </c>
    </row>
    <row r="171" spans="1:9" ht="28" x14ac:dyDescent="0.35">
      <c r="A171" s="2" t="s">
        <v>109</v>
      </c>
      <c r="B171" s="2" t="s">
        <v>114</v>
      </c>
      <c r="C171" s="2" t="s">
        <v>244</v>
      </c>
      <c r="D171" s="2" t="s">
        <v>250</v>
      </c>
      <c r="E171" s="2" t="s">
        <v>242</v>
      </c>
      <c r="F171" s="2" t="s">
        <v>239</v>
      </c>
      <c r="G171" s="4">
        <v>0.83161499999999999</v>
      </c>
      <c r="H171" s="4">
        <v>0.83192600000000005</v>
      </c>
      <c r="I171" s="3">
        <f t="shared" si="2"/>
        <v>3.1100000000006123E-4</v>
      </c>
    </row>
    <row r="172" spans="1:9" x14ac:dyDescent="0.35">
      <c r="A172" s="2" t="s">
        <v>109</v>
      </c>
      <c r="B172" s="2" t="s">
        <v>114</v>
      </c>
      <c r="C172" s="2" t="s">
        <v>244</v>
      </c>
      <c r="D172" s="2" t="s">
        <v>250</v>
      </c>
      <c r="E172" s="2" t="s">
        <v>242</v>
      </c>
      <c r="F172" s="2" t="s">
        <v>240</v>
      </c>
      <c r="G172" s="4">
        <v>0.63358099999999995</v>
      </c>
      <c r="H172" s="4">
        <v>0.63347699999999996</v>
      </c>
      <c r="I172" s="3">
        <f t="shared" si="2"/>
        <v>-1.0399999999999299E-4</v>
      </c>
    </row>
    <row r="173" spans="1:9" ht="28" x14ac:dyDescent="0.35">
      <c r="A173" s="2" t="s">
        <v>115</v>
      </c>
      <c r="B173" s="2" t="s">
        <v>120</v>
      </c>
      <c r="C173" s="2" t="s">
        <v>244</v>
      </c>
      <c r="D173" s="2" t="s">
        <v>251</v>
      </c>
      <c r="E173" s="2" t="s">
        <v>234</v>
      </c>
      <c r="F173" s="2" t="s">
        <v>235</v>
      </c>
      <c r="G173" s="4">
        <v>0.245472</v>
      </c>
      <c r="H173" s="4">
        <v>0.24462300000000001</v>
      </c>
      <c r="I173" s="3">
        <f t="shared" si="2"/>
        <v>-8.4899999999998865E-4</v>
      </c>
    </row>
    <row r="174" spans="1:9" ht="28" x14ac:dyDescent="0.35">
      <c r="A174" s="2" t="s">
        <v>115</v>
      </c>
      <c r="B174" s="2" t="s">
        <v>120</v>
      </c>
      <c r="C174" s="2" t="s">
        <v>244</v>
      </c>
      <c r="D174" s="2" t="s">
        <v>251</v>
      </c>
      <c r="E174" s="2" t="s">
        <v>236</v>
      </c>
      <c r="F174" s="2" t="s">
        <v>235</v>
      </c>
      <c r="G174" s="4">
        <v>0.282416</v>
      </c>
      <c r="H174" s="4">
        <v>0.28409200000000001</v>
      </c>
      <c r="I174" s="3">
        <f t="shared" si="2"/>
        <v>1.6760000000000108E-3</v>
      </c>
    </row>
    <row r="175" spans="1:9" ht="28" x14ac:dyDescent="0.35">
      <c r="A175" s="2" t="s">
        <v>115</v>
      </c>
      <c r="B175" s="2" t="s">
        <v>120</v>
      </c>
      <c r="C175" s="2" t="s">
        <v>244</v>
      </c>
      <c r="D175" s="2" t="s">
        <v>251</v>
      </c>
      <c r="E175" s="2" t="s">
        <v>237</v>
      </c>
      <c r="F175" s="2" t="s">
        <v>235</v>
      </c>
      <c r="G175" s="4">
        <v>0.28014600000000001</v>
      </c>
      <c r="H175" s="4">
        <v>0.27680100000000002</v>
      </c>
      <c r="I175" s="3">
        <f t="shared" si="2"/>
        <v>-3.3449999999999869E-3</v>
      </c>
    </row>
    <row r="176" spans="1:9" ht="28" x14ac:dyDescent="0.35">
      <c r="A176" s="2" t="s">
        <v>115</v>
      </c>
      <c r="B176" s="2" t="s">
        <v>120</v>
      </c>
      <c r="C176" s="2" t="s">
        <v>244</v>
      </c>
      <c r="D176" s="2" t="s">
        <v>251</v>
      </c>
      <c r="E176" s="2" t="s">
        <v>238</v>
      </c>
      <c r="F176" s="2" t="s">
        <v>239</v>
      </c>
      <c r="G176" s="4">
        <v>0.80169400000000002</v>
      </c>
      <c r="H176" s="4">
        <v>0.80249099999999995</v>
      </c>
      <c r="I176" s="3">
        <f t="shared" si="2"/>
        <v>7.9699999999993665E-4</v>
      </c>
    </row>
    <row r="177" spans="1:9" ht="28" x14ac:dyDescent="0.35">
      <c r="A177" s="2" t="s">
        <v>115</v>
      </c>
      <c r="B177" s="2" t="s">
        <v>120</v>
      </c>
      <c r="C177" s="2" t="s">
        <v>244</v>
      </c>
      <c r="D177" s="2" t="s">
        <v>251</v>
      </c>
      <c r="E177" s="2" t="s">
        <v>238</v>
      </c>
      <c r="F177" s="2" t="s">
        <v>240</v>
      </c>
      <c r="G177" s="4">
        <v>0.55312399999999995</v>
      </c>
      <c r="H177" s="4">
        <v>0.55786500000000006</v>
      </c>
      <c r="I177" s="3">
        <f t="shared" si="2"/>
        <v>4.7410000000001062E-3</v>
      </c>
    </row>
    <row r="178" spans="1:9" ht="28" x14ac:dyDescent="0.35">
      <c r="A178" s="2" t="s">
        <v>115</v>
      </c>
      <c r="B178" s="2" t="s">
        <v>120</v>
      </c>
      <c r="C178" s="2" t="s">
        <v>244</v>
      </c>
      <c r="D178" s="2" t="s">
        <v>251</v>
      </c>
      <c r="E178" s="2" t="s">
        <v>241</v>
      </c>
      <c r="F178" s="2" t="s">
        <v>239</v>
      </c>
      <c r="G178" s="4">
        <v>0.82854399999999995</v>
      </c>
      <c r="H178" s="4">
        <v>0.82839499999999999</v>
      </c>
      <c r="I178" s="3">
        <f t="shared" si="2"/>
        <v>-1.4899999999995472E-4</v>
      </c>
    </row>
    <row r="179" spans="1:9" ht="28" x14ac:dyDescent="0.35">
      <c r="A179" s="2" t="s">
        <v>115</v>
      </c>
      <c r="B179" s="2" t="s">
        <v>120</v>
      </c>
      <c r="C179" s="2" t="s">
        <v>244</v>
      </c>
      <c r="D179" s="2" t="s">
        <v>251</v>
      </c>
      <c r="E179" s="2" t="s">
        <v>241</v>
      </c>
      <c r="F179" s="2" t="s">
        <v>240</v>
      </c>
      <c r="G179" s="4">
        <v>0.61828399999999994</v>
      </c>
      <c r="H179" s="4">
        <v>0.62005500000000002</v>
      </c>
      <c r="I179" s="3">
        <f t="shared" si="2"/>
        <v>1.7710000000000781E-3</v>
      </c>
    </row>
    <row r="180" spans="1:9" ht="28" x14ac:dyDescent="0.35">
      <c r="A180" s="2" t="s">
        <v>115</v>
      </c>
      <c r="B180" s="2" t="s">
        <v>120</v>
      </c>
      <c r="C180" s="2" t="s">
        <v>244</v>
      </c>
      <c r="D180" s="2" t="s">
        <v>251</v>
      </c>
      <c r="E180" s="2" t="s">
        <v>242</v>
      </c>
      <c r="F180" s="2" t="s">
        <v>239</v>
      </c>
      <c r="G180" s="4">
        <v>0.83161499999999999</v>
      </c>
      <c r="H180" s="4">
        <v>0.832731</v>
      </c>
      <c r="I180" s="3">
        <f t="shared" si="2"/>
        <v>1.1160000000000059E-3</v>
      </c>
    </row>
    <row r="181" spans="1:9" ht="28" x14ac:dyDescent="0.35">
      <c r="A181" s="2" t="s">
        <v>115</v>
      </c>
      <c r="B181" s="2" t="s">
        <v>120</v>
      </c>
      <c r="C181" s="2" t="s">
        <v>244</v>
      </c>
      <c r="D181" s="2" t="s">
        <v>251</v>
      </c>
      <c r="E181" s="2" t="s">
        <v>242</v>
      </c>
      <c r="F181" s="2" t="s">
        <v>240</v>
      </c>
      <c r="G181" s="4">
        <v>0.63358099999999995</v>
      </c>
      <c r="H181" s="4">
        <v>0.63478599999999996</v>
      </c>
      <c r="I181" s="3">
        <f t="shared" si="2"/>
        <v>1.2050000000000116E-3</v>
      </c>
    </row>
    <row r="182" spans="1:9" ht="28" x14ac:dyDescent="0.35">
      <c r="A182" s="2" t="s">
        <v>121</v>
      </c>
      <c r="B182" s="2" t="s">
        <v>120</v>
      </c>
      <c r="C182" s="2" t="s">
        <v>244</v>
      </c>
      <c r="D182" s="2" t="s">
        <v>252</v>
      </c>
      <c r="E182" s="2" t="s">
        <v>234</v>
      </c>
      <c r="F182" s="2" t="s">
        <v>235</v>
      </c>
      <c r="G182" s="4">
        <v>0.245472</v>
      </c>
      <c r="H182" s="4">
        <v>0.24529000000000001</v>
      </c>
      <c r="I182" s="3">
        <f t="shared" si="2"/>
        <v>-1.8199999999998773E-4</v>
      </c>
    </row>
    <row r="183" spans="1:9" ht="28" x14ac:dyDescent="0.35">
      <c r="A183" s="2" t="s">
        <v>121</v>
      </c>
      <c r="B183" s="2" t="s">
        <v>120</v>
      </c>
      <c r="C183" s="2" t="s">
        <v>244</v>
      </c>
      <c r="D183" s="2" t="s">
        <v>252</v>
      </c>
      <c r="E183" s="2" t="s">
        <v>236</v>
      </c>
      <c r="F183" s="2" t="s">
        <v>235</v>
      </c>
      <c r="G183" s="4">
        <v>0.282416</v>
      </c>
      <c r="H183" s="4">
        <v>0.28190999999999999</v>
      </c>
      <c r="I183" s="3">
        <f t="shared" si="2"/>
        <v>-5.0600000000000644E-4</v>
      </c>
    </row>
    <row r="184" spans="1:9" ht="28" x14ac:dyDescent="0.35">
      <c r="A184" s="2" t="s">
        <v>121</v>
      </c>
      <c r="B184" s="2" t="s">
        <v>120</v>
      </c>
      <c r="C184" s="2" t="s">
        <v>244</v>
      </c>
      <c r="D184" s="2" t="s">
        <v>252</v>
      </c>
      <c r="E184" s="2" t="s">
        <v>237</v>
      </c>
      <c r="F184" s="2" t="s">
        <v>235</v>
      </c>
      <c r="G184" s="4">
        <v>0.28014600000000001</v>
      </c>
      <c r="H184" s="4">
        <v>0.26255400000000001</v>
      </c>
      <c r="I184" s="3">
        <f t="shared" si="2"/>
        <v>-1.7591999999999997E-2</v>
      </c>
    </row>
    <row r="185" spans="1:9" ht="28" x14ac:dyDescent="0.35">
      <c r="A185" s="2" t="s">
        <v>121</v>
      </c>
      <c r="B185" s="2" t="s">
        <v>120</v>
      </c>
      <c r="C185" s="2" t="s">
        <v>244</v>
      </c>
      <c r="D185" s="2" t="s">
        <v>252</v>
      </c>
      <c r="E185" s="2" t="s">
        <v>238</v>
      </c>
      <c r="F185" s="2" t="s">
        <v>239</v>
      </c>
      <c r="G185" s="4">
        <v>0.80169400000000002</v>
      </c>
      <c r="H185" s="4">
        <v>0.80198700000000001</v>
      </c>
      <c r="I185" s="3">
        <f t="shared" si="2"/>
        <v>2.9299999999998771E-4</v>
      </c>
    </row>
    <row r="186" spans="1:9" ht="28" x14ac:dyDescent="0.35">
      <c r="A186" s="2" t="s">
        <v>121</v>
      </c>
      <c r="B186" s="2" t="s">
        <v>120</v>
      </c>
      <c r="C186" s="2" t="s">
        <v>244</v>
      </c>
      <c r="D186" s="2" t="s">
        <v>252</v>
      </c>
      <c r="E186" s="2" t="s">
        <v>238</v>
      </c>
      <c r="F186" s="2" t="s">
        <v>240</v>
      </c>
      <c r="G186" s="4">
        <v>0.55312399999999995</v>
      </c>
      <c r="H186" s="4">
        <v>0.552311</v>
      </c>
      <c r="I186" s="3">
        <f t="shared" si="2"/>
        <v>-8.1299999999995265E-4</v>
      </c>
    </row>
    <row r="187" spans="1:9" ht="28" x14ac:dyDescent="0.35">
      <c r="A187" s="2" t="s">
        <v>121</v>
      </c>
      <c r="B187" s="2" t="s">
        <v>120</v>
      </c>
      <c r="C187" s="2" t="s">
        <v>244</v>
      </c>
      <c r="D187" s="2" t="s">
        <v>252</v>
      </c>
      <c r="E187" s="2" t="s">
        <v>241</v>
      </c>
      <c r="F187" s="2" t="s">
        <v>239</v>
      </c>
      <c r="G187" s="4">
        <v>0.82854399999999995</v>
      </c>
      <c r="H187" s="4">
        <v>0.82634799999999997</v>
      </c>
      <c r="I187" s="3">
        <f t="shared" si="2"/>
        <v>-2.1959999999999757E-3</v>
      </c>
    </row>
    <row r="188" spans="1:9" ht="28" x14ac:dyDescent="0.35">
      <c r="A188" s="2" t="s">
        <v>121</v>
      </c>
      <c r="B188" s="2" t="s">
        <v>120</v>
      </c>
      <c r="C188" s="2" t="s">
        <v>244</v>
      </c>
      <c r="D188" s="2" t="s">
        <v>252</v>
      </c>
      <c r="E188" s="2" t="s">
        <v>241</v>
      </c>
      <c r="F188" s="2" t="s">
        <v>240</v>
      </c>
      <c r="G188" s="4">
        <v>0.61828399999999994</v>
      </c>
      <c r="H188" s="4">
        <v>0.61468</v>
      </c>
      <c r="I188" s="3">
        <f t="shared" si="2"/>
        <v>-3.6039999999999406E-3</v>
      </c>
    </row>
    <row r="189" spans="1:9" ht="28" x14ac:dyDescent="0.35">
      <c r="A189" s="2" t="s">
        <v>121</v>
      </c>
      <c r="B189" s="2" t="s">
        <v>120</v>
      </c>
      <c r="C189" s="2" t="s">
        <v>244</v>
      </c>
      <c r="D189" s="2" t="s">
        <v>252</v>
      </c>
      <c r="E189" s="2" t="s">
        <v>242</v>
      </c>
      <c r="F189" s="2" t="s">
        <v>239</v>
      </c>
      <c r="G189" s="4">
        <v>0.83161499999999999</v>
      </c>
      <c r="H189" s="4">
        <v>0.82934200000000002</v>
      </c>
      <c r="I189" s="3">
        <f t="shared" si="2"/>
        <v>-2.2729999999999695E-3</v>
      </c>
    </row>
    <row r="190" spans="1:9" ht="28" x14ac:dyDescent="0.35">
      <c r="A190" s="2" t="s">
        <v>121</v>
      </c>
      <c r="B190" s="2" t="s">
        <v>120</v>
      </c>
      <c r="C190" s="2" t="s">
        <v>244</v>
      </c>
      <c r="D190" s="2" t="s">
        <v>252</v>
      </c>
      <c r="E190" s="2" t="s">
        <v>242</v>
      </c>
      <c r="F190" s="2" t="s">
        <v>240</v>
      </c>
      <c r="G190" s="4">
        <v>0.63358099999999995</v>
      </c>
      <c r="H190" s="4">
        <v>0.632934</v>
      </c>
      <c r="I190" s="3">
        <f t="shared" si="2"/>
        <v>-6.4699999999995317E-4</v>
      </c>
    </row>
    <row r="191" spans="1:9" x14ac:dyDescent="0.35">
      <c r="A191" s="2" t="s">
        <v>126</v>
      </c>
      <c r="B191" s="2" t="s">
        <v>131</v>
      </c>
      <c r="C191" s="2" t="s">
        <v>244</v>
      </c>
      <c r="D191" s="2" t="s">
        <v>253</v>
      </c>
      <c r="E191" s="2" t="s">
        <v>234</v>
      </c>
      <c r="F191" s="2" t="s">
        <v>235</v>
      </c>
      <c r="G191" s="4">
        <v>0.245472</v>
      </c>
      <c r="H191" s="4">
        <v>0.241199</v>
      </c>
      <c r="I191" s="3">
        <f t="shared" si="2"/>
        <v>-4.272999999999999E-3</v>
      </c>
    </row>
    <row r="192" spans="1:9" x14ac:dyDescent="0.35">
      <c r="A192" s="2" t="s">
        <v>126</v>
      </c>
      <c r="B192" s="2" t="s">
        <v>131</v>
      </c>
      <c r="C192" s="2" t="s">
        <v>244</v>
      </c>
      <c r="D192" s="2" t="s">
        <v>253</v>
      </c>
      <c r="E192" s="2" t="s">
        <v>236</v>
      </c>
      <c r="F192" s="2" t="s">
        <v>235</v>
      </c>
      <c r="G192" s="4">
        <v>0.282416</v>
      </c>
      <c r="H192" s="4">
        <v>0.28370800000000002</v>
      </c>
      <c r="I192" s="3">
        <f t="shared" si="2"/>
        <v>1.2920000000000154E-3</v>
      </c>
    </row>
    <row r="193" spans="1:9" x14ac:dyDescent="0.35">
      <c r="A193" s="2" t="s">
        <v>126</v>
      </c>
      <c r="B193" s="2" t="s">
        <v>131</v>
      </c>
      <c r="C193" s="2" t="s">
        <v>244</v>
      </c>
      <c r="D193" s="2" t="s">
        <v>253</v>
      </c>
      <c r="E193" s="2" t="s">
        <v>237</v>
      </c>
      <c r="F193" s="2" t="s">
        <v>235</v>
      </c>
      <c r="G193" s="4">
        <v>0.28014600000000001</v>
      </c>
      <c r="H193" s="4">
        <v>0.26263999999999998</v>
      </c>
      <c r="I193" s="3">
        <f t="shared" si="2"/>
        <v>-1.7506000000000022E-2</v>
      </c>
    </row>
    <row r="194" spans="1:9" ht="28" x14ac:dyDescent="0.35">
      <c r="A194" s="2" t="s">
        <v>126</v>
      </c>
      <c r="B194" s="2" t="s">
        <v>131</v>
      </c>
      <c r="C194" s="2" t="s">
        <v>244</v>
      </c>
      <c r="D194" s="2" t="s">
        <v>253</v>
      </c>
      <c r="E194" s="2" t="s">
        <v>238</v>
      </c>
      <c r="F194" s="2" t="s">
        <v>239</v>
      </c>
      <c r="G194" s="4">
        <v>0.80170200000000003</v>
      </c>
      <c r="H194" s="4">
        <v>0.79512499999999997</v>
      </c>
      <c r="I194" s="3">
        <f t="shared" ref="I194:I257" si="3">H194-G194</f>
        <v>-6.577000000000055E-3</v>
      </c>
    </row>
    <row r="195" spans="1:9" x14ac:dyDescent="0.35">
      <c r="A195" s="2" t="s">
        <v>126</v>
      </c>
      <c r="B195" s="2" t="s">
        <v>131</v>
      </c>
      <c r="C195" s="2" t="s">
        <v>244</v>
      </c>
      <c r="D195" s="2" t="s">
        <v>253</v>
      </c>
      <c r="E195" s="2" t="s">
        <v>238</v>
      </c>
      <c r="F195" s="2" t="s">
        <v>240</v>
      </c>
      <c r="G195" s="4">
        <v>0.55312099999999997</v>
      </c>
      <c r="H195" s="4">
        <v>0.55083599999999999</v>
      </c>
      <c r="I195" s="3">
        <f t="shared" si="3"/>
        <v>-2.2849999999999815E-3</v>
      </c>
    </row>
    <row r="196" spans="1:9" ht="28" x14ac:dyDescent="0.35">
      <c r="A196" s="2" t="s">
        <v>126</v>
      </c>
      <c r="B196" s="2" t="s">
        <v>131</v>
      </c>
      <c r="C196" s="2" t="s">
        <v>244</v>
      </c>
      <c r="D196" s="2" t="s">
        <v>253</v>
      </c>
      <c r="E196" s="2" t="s">
        <v>241</v>
      </c>
      <c r="F196" s="2" t="s">
        <v>239</v>
      </c>
      <c r="G196" s="4">
        <v>0.82854399999999995</v>
      </c>
      <c r="H196" s="4">
        <v>0.83070500000000003</v>
      </c>
      <c r="I196" s="3">
        <f t="shared" si="3"/>
        <v>2.1610000000000795E-3</v>
      </c>
    </row>
    <row r="197" spans="1:9" x14ac:dyDescent="0.35">
      <c r="A197" s="2" t="s">
        <v>126</v>
      </c>
      <c r="B197" s="2" t="s">
        <v>131</v>
      </c>
      <c r="C197" s="2" t="s">
        <v>244</v>
      </c>
      <c r="D197" s="2" t="s">
        <v>253</v>
      </c>
      <c r="E197" s="2" t="s">
        <v>241</v>
      </c>
      <c r="F197" s="2" t="s">
        <v>240</v>
      </c>
      <c r="G197" s="4">
        <v>0.61828399999999994</v>
      </c>
      <c r="H197" s="4">
        <v>0.62624599999999997</v>
      </c>
      <c r="I197" s="3">
        <f t="shared" si="3"/>
        <v>7.9620000000000246E-3</v>
      </c>
    </row>
    <row r="198" spans="1:9" ht="28" x14ac:dyDescent="0.35">
      <c r="A198" s="2" t="s">
        <v>126</v>
      </c>
      <c r="B198" s="2" t="s">
        <v>131</v>
      </c>
      <c r="C198" s="2" t="s">
        <v>244</v>
      </c>
      <c r="D198" s="2" t="s">
        <v>253</v>
      </c>
      <c r="E198" s="2" t="s">
        <v>242</v>
      </c>
      <c r="F198" s="2" t="s">
        <v>239</v>
      </c>
      <c r="G198" s="4">
        <v>0.83161499999999999</v>
      </c>
      <c r="H198" s="4">
        <v>0.83206100000000005</v>
      </c>
      <c r="I198" s="3">
        <f t="shared" si="3"/>
        <v>4.4600000000005746E-4</v>
      </c>
    </row>
    <row r="199" spans="1:9" x14ac:dyDescent="0.35">
      <c r="A199" s="2" t="s">
        <v>126</v>
      </c>
      <c r="B199" s="2" t="s">
        <v>131</v>
      </c>
      <c r="C199" s="2" t="s">
        <v>244</v>
      </c>
      <c r="D199" s="2" t="s">
        <v>253</v>
      </c>
      <c r="E199" s="2" t="s">
        <v>242</v>
      </c>
      <c r="F199" s="2" t="s">
        <v>240</v>
      </c>
      <c r="G199" s="4">
        <v>0.63358099999999995</v>
      </c>
      <c r="H199" s="4">
        <v>0.63305500000000003</v>
      </c>
      <c r="I199" s="3">
        <f t="shared" si="3"/>
        <v>-5.2599999999991542E-4</v>
      </c>
    </row>
    <row r="200" spans="1:9" x14ac:dyDescent="0.35">
      <c r="A200" s="2" t="s">
        <v>132</v>
      </c>
      <c r="B200" s="2" t="s">
        <v>131</v>
      </c>
      <c r="C200" s="2" t="s">
        <v>244</v>
      </c>
      <c r="D200" s="2" t="s">
        <v>254</v>
      </c>
      <c r="E200" s="2" t="s">
        <v>234</v>
      </c>
      <c r="F200" s="2" t="s">
        <v>235</v>
      </c>
      <c r="G200" s="4">
        <v>0.245472</v>
      </c>
      <c r="H200" s="4">
        <v>0.24546399999999999</v>
      </c>
      <c r="I200" s="3">
        <f t="shared" si="3"/>
        <v>-8.0000000000080007E-6</v>
      </c>
    </row>
    <row r="201" spans="1:9" x14ac:dyDescent="0.35">
      <c r="A201" s="2" t="s">
        <v>132</v>
      </c>
      <c r="B201" s="2" t="s">
        <v>131</v>
      </c>
      <c r="C201" s="2" t="s">
        <v>244</v>
      </c>
      <c r="D201" s="2" t="s">
        <v>254</v>
      </c>
      <c r="E201" s="2" t="s">
        <v>236</v>
      </c>
      <c r="F201" s="2" t="s">
        <v>235</v>
      </c>
      <c r="G201" s="4">
        <v>0.282416</v>
      </c>
      <c r="H201" s="4">
        <v>0.28087000000000001</v>
      </c>
      <c r="I201" s="3">
        <f t="shared" si="3"/>
        <v>-1.5459999999999918E-3</v>
      </c>
    </row>
    <row r="202" spans="1:9" x14ac:dyDescent="0.35">
      <c r="A202" s="2" t="s">
        <v>132</v>
      </c>
      <c r="B202" s="2" t="s">
        <v>131</v>
      </c>
      <c r="C202" s="2" t="s">
        <v>244</v>
      </c>
      <c r="D202" s="2" t="s">
        <v>254</v>
      </c>
      <c r="E202" s="2" t="s">
        <v>237</v>
      </c>
      <c r="F202" s="2" t="s">
        <v>235</v>
      </c>
      <c r="G202" s="4">
        <v>0.28014600000000001</v>
      </c>
      <c r="H202" s="4">
        <v>0.26428099999999999</v>
      </c>
      <c r="I202" s="3">
        <f t="shared" si="3"/>
        <v>-1.5865000000000018E-2</v>
      </c>
    </row>
    <row r="203" spans="1:9" ht="28" x14ac:dyDescent="0.35">
      <c r="A203" s="2" t="s">
        <v>132</v>
      </c>
      <c r="B203" s="2" t="s">
        <v>131</v>
      </c>
      <c r="C203" s="2" t="s">
        <v>244</v>
      </c>
      <c r="D203" s="2" t="s">
        <v>254</v>
      </c>
      <c r="E203" s="2" t="s">
        <v>238</v>
      </c>
      <c r="F203" s="2" t="s">
        <v>239</v>
      </c>
      <c r="G203" s="4">
        <v>0.80170200000000003</v>
      </c>
      <c r="H203" s="4">
        <v>0.80120999999999998</v>
      </c>
      <c r="I203" s="3">
        <f t="shared" si="3"/>
        <v>-4.9200000000004795E-4</v>
      </c>
    </row>
    <row r="204" spans="1:9" x14ac:dyDescent="0.35">
      <c r="A204" s="2" t="s">
        <v>132</v>
      </c>
      <c r="B204" s="2" t="s">
        <v>131</v>
      </c>
      <c r="C204" s="2" t="s">
        <v>244</v>
      </c>
      <c r="D204" s="2" t="s">
        <v>254</v>
      </c>
      <c r="E204" s="2" t="s">
        <v>238</v>
      </c>
      <c r="F204" s="2" t="s">
        <v>240</v>
      </c>
      <c r="G204" s="4">
        <v>0.55312099999999997</v>
      </c>
      <c r="H204" s="4">
        <v>0.55232800000000004</v>
      </c>
      <c r="I204" s="3">
        <f t="shared" si="3"/>
        <v>-7.9299999999993265E-4</v>
      </c>
    </row>
    <row r="205" spans="1:9" ht="28" x14ac:dyDescent="0.35">
      <c r="A205" s="2" t="s">
        <v>132</v>
      </c>
      <c r="B205" s="2" t="s">
        <v>131</v>
      </c>
      <c r="C205" s="2" t="s">
        <v>244</v>
      </c>
      <c r="D205" s="2" t="s">
        <v>254</v>
      </c>
      <c r="E205" s="2" t="s">
        <v>241</v>
      </c>
      <c r="F205" s="2" t="s">
        <v>239</v>
      </c>
      <c r="G205" s="4">
        <v>0.82854399999999995</v>
      </c>
      <c r="H205" s="4">
        <v>0.82640800000000003</v>
      </c>
      <c r="I205" s="3">
        <f t="shared" si="3"/>
        <v>-2.1359999999999157E-3</v>
      </c>
    </row>
    <row r="206" spans="1:9" x14ac:dyDescent="0.35">
      <c r="A206" s="2" t="s">
        <v>132</v>
      </c>
      <c r="B206" s="2" t="s">
        <v>131</v>
      </c>
      <c r="C206" s="2" t="s">
        <v>244</v>
      </c>
      <c r="D206" s="2" t="s">
        <v>254</v>
      </c>
      <c r="E206" s="2" t="s">
        <v>241</v>
      </c>
      <c r="F206" s="2" t="s">
        <v>240</v>
      </c>
      <c r="G206" s="4">
        <v>0.61828399999999994</v>
      </c>
      <c r="H206" s="4">
        <v>0.61857300000000004</v>
      </c>
      <c r="I206" s="3">
        <f t="shared" si="3"/>
        <v>2.8900000000009474E-4</v>
      </c>
    </row>
    <row r="207" spans="1:9" ht="28" x14ac:dyDescent="0.35">
      <c r="A207" s="2" t="s">
        <v>132</v>
      </c>
      <c r="B207" s="2" t="s">
        <v>131</v>
      </c>
      <c r="C207" s="2" t="s">
        <v>244</v>
      </c>
      <c r="D207" s="2" t="s">
        <v>254</v>
      </c>
      <c r="E207" s="2" t="s">
        <v>242</v>
      </c>
      <c r="F207" s="2" t="s">
        <v>239</v>
      </c>
      <c r="G207" s="4">
        <v>0.83161499999999999</v>
      </c>
      <c r="H207" s="4">
        <v>0.82754399999999995</v>
      </c>
      <c r="I207" s="3">
        <f t="shared" si="3"/>
        <v>-4.0710000000000468E-3</v>
      </c>
    </row>
    <row r="208" spans="1:9" x14ac:dyDescent="0.35">
      <c r="A208" s="2" t="s">
        <v>132</v>
      </c>
      <c r="B208" s="2" t="s">
        <v>131</v>
      </c>
      <c r="C208" s="2" t="s">
        <v>244</v>
      </c>
      <c r="D208" s="2" t="s">
        <v>254</v>
      </c>
      <c r="E208" s="2" t="s">
        <v>242</v>
      </c>
      <c r="F208" s="2" t="s">
        <v>240</v>
      </c>
      <c r="G208" s="4">
        <v>0.63358099999999995</v>
      </c>
      <c r="H208" s="4">
        <v>0.62817999999999996</v>
      </c>
      <c r="I208" s="3">
        <f t="shared" si="3"/>
        <v>-5.4009999999999891E-3</v>
      </c>
    </row>
    <row r="209" spans="1:9" x14ac:dyDescent="0.35">
      <c r="A209" s="2" t="s">
        <v>136</v>
      </c>
      <c r="B209" s="2" t="s">
        <v>131</v>
      </c>
      <c r="C209" s="2" t="s">
        <v>244</v>
      </c>
      <c r="D209" s="2" t="s">
        <v>255</v>
      </c>
      <c r="E209" s="2" t="s">
        <v>234</v>
      </c>
      <c r="F209" s="2" t="s">
        <v>235</v>
      </c>
      <c r="G209" s="4">
        <v>0.245472</v>
      </c>
      <c r="H209" s="4">
        <v>0.23896600000000001</v>
      </c>
      <c r="I209" s="3">
        <f t="shared" si="3"/>
        <v>-6.505999999999984E-3</v>
      </c>
    </row>
    <row r="210" spans="1:9" x14ac:dyDescent="0.35">
      <c r="A210" s="2" t="s">
        <v>136</v>
      </c>
      <c r="B210" s="2" t="s">
        <v>131</v>
      </c>
      <c r="C210" s="2" t="s">
        <v>244</v>
      </c>
      <c r="D210" s="2" t="s">
        <v>255</v>
      </c>
      <c r="E210" s="2" t="s">
        <v>236</v>
      </c>
      <c r="F210" s="2" t="s">
        <v>235</v>
      </c>
      <c r="G210" s="4">
        <v>0.282416</v>
      </c>
      <c r="H210" s="4">
        <v>0.28023199999999998</v>
      </c>
      <c r="I210" s="3">
        <f t="shared" si="3"/>
        <v>-2.1840000000000193E-3</v>
      </c>
    </row>
    <row r="211" spans="1:9" x14ac:dyDescent="0.35">
      <c r="A211" s="2" t="s">
        <v>136</v>
      </c>
      <c r="B211" s="2" t="s">
        <v>131</v>
      </c>
      <c r="C211" s="2" t="s">
        <v>244</v>
      </c>
      <c r="D211" s="2" t="s">
        <v>255</v>
      </c>
      <c r="E211" s="2" t="s">
        <v>237</v>
      </c>
      <c r="F211" s="2" t="s">
        <v>235</v>
      </c>
      <c r="G211" s="4">
        <v>0.28014600000000001</v>
      </c>
      <c r="H211" s="4">
        <v>0.26185999999999998</v>
      </c>
      <c r="I211" s="3">
        <f t="shared" si="3"/>
        <v>-1.8286000000000024E-2</v>
      </c>
    </row>
    <row r="212" spans="1:9" ht="28" x14ac:dyDescent="0.35">
      <c r="A212" s="2" t="s">
        <v>136</v>
      </c>
      <c r="B212" s="2" t="s">
        <v>131</v>
      </c>
      <c r="C212" s="2" t="s">
        <v>244</v>
      </c>
      <c r="D212" s="2" t="s">
        <v>255</v>
      </c>
      <c r="E212" s="2" t="s">
        <v>238</v>
      </c>
      <c r="F212" s="2" t="s">
        <v>239</v>
      </c>
      <c r="G212" s="4">
        <v>0.80170200000000003</v>
      </c>
      <c r="H212" s="4">
        <v>0.78277099999999999</v>
      </c>
      <c r="I212" s="3">
        <f t="shared" si="3"/>
        <v>-1.8931000000000031E-2</v>
      </c>
    </row>
    <row r="213" spans="1:9" x14ac:dyDescent="0.35">
      <c r="A213" s="2" t="s">
        <v>136</v>
      </c>
      <c r="B213" s="2" t="s">
        <v>131</v>
      </c>
      <c r="C213" s="2" t="s">
        <v>244</v>
      </c>
      <c r="D213" s="2" t="s">
        <v>255</v>
      </c>
      <c r="E213" s="2" t="s">
        <v>238</v>
      </c>
      <c r="F213" s="2" t="s">
        <v>240</v>
      </c>
      <c r="G213" s="4">
        <v>0.55312099999999997</v>
      </c>
      <c r="H213" s="4">
        <v>0.54666000000000003</v>
      </c>
      <c r="I213" s="3">
        <f t="shared" si="3"/>
        <v>-6.460999999999939E-3</v>
      </c>
    </row>
    <row r="214" spans="1:9" ht="28" x14ac:dyDescent="0.35">
      <c r="A214" s="2" t="s">
        <v>136</v>
      </c>
      <c r="B214" s="2" t="s">
        <v>131</v>
      </c>
      <c r="C214" s="2" t="s">
        <v>244</v>
      </c>
      <c r="D214" s="2" t="s">
        <v>255</v>
      </c>
      <c r="E214" s="2" t="s">
        <v>241</v>
      </c>
      <c r="F214" s="2" t="s">
        <v>239</v>
      </c>
      <c r="G214" s="4">
        <v>0.82854399999999995</v>
      </c>
      <c r="H214" s="4">
        <v>0.81557800000000003</v>
      </c>
      <c r="I214" s="3">
        <f t="shared" si="3"/>
        <v>-1.2965999999999922E-2</v>
      </c>
    </row>
    <row r="215" spans="1:9" x14ac:dyDescent="0.35">
      <c r="A215" s="2" t="s">
        <v>136</v>
      </c>
      <c r="B215" s="2" t="s">
        <v>131</v>
      </c>
      <c r="C215" s="2" t="s">
        <v>244</v>
      </c>
      <c r="D215" s="2" t="s">
        <v>255</v>
      </c>
      <c r="E215" s="2" t="s">
        <v>241</v>
      </c>
      <c r="F215" s="2" t="s">
        <v>240</v>
      </c>
      <c r="G215" s="4">
        <v>0.61828399999999994</v>
      </c>
      <c r="H215" s="4">
        <v>0.60404800000000003</v>
      </c>
      <c r="I215" s="3">
        <f t="shared" si="3"/>
        <v>-1.4235999999999915E-2</v>
      </c>
    </row>
    <row r="216" spans="1:9" ht="28" x14ac:dyDescent="0.35">
      <c r="A216" s="2" t="s">
        <v>136</v>
      </c>
      <c r="B216" s="2" t="s">
        <v>131</v>
      </c>
      <c r="C216" s="2" t="s">
        <v>244</v>
      </c>
      <c r="D216" s="2" t="s">
        <v>255</v>
      </c>
      <c r="E216" s="2" t="s">
        <v>242</v>
      </c>
      <c r="F216" s="2" t="s">
        <v>239</v>
      </c>
      <c r="G216" s="4">
        <v>0.83161499999999999</v>
      </c>
      <c r="H216" s="4">
        <v>0.82400200000000001</v>
      </c>
      <c r="I216" s="3">
        <f t="shared" si="3"/>
        <v>-7.6129999999999809E-3</v>
      </c>
    </row>
    <row r="217" spans="1:9" x14ac:dyDescent="0.35">
      <c r="A217" s="2" t="s">
        <v>136</v>
      </c>
      <c r="B217" s="2" t="s">
        <v>131</v>
      </c>
      <c r="C217" s="2" t="s">
        <v>244</v>
      </c>
      <c r="D217" s="2" t="s">
        <v>255</v>
      </c>
      <c r="E217" s="2" t="s">
        <v>242</v>
      </c>
      <c r="F217" s="2" t="s">
        <v>240</v>
      </c>
      <c r="G217" s="4">
        <v>0.63358099999999995</v>
      </c>
      <c r="H217" s="4">
        <v>0.62356299999999998</v>
      </c>
      <c r="I217" s="3">
        <f t="shared" si="3"/>
        <v>-1.0017999999999971E-2</v>
      </c>
    </row>
    <row r="218" spans="1:9" x14ac:dyDescent="0.35">
      <c r="A218" s="2" t="s">
        <v>140</v>
      </c>
      <c r="B218" s="2" t="s">
        <v>131</v>
      </c>
      <c r="C218" s="2" t="s">
        <v>244</v>
      </c>
      <c r="D218" s="2" t="s">
        <v>256</v>
      </c>
      <c r="E218" s="2" t="s">
        <v>234</v>
      </c>
      <c r="F218" s="2" t="s">
        <v>235</v>
      </c>
      <c r="G218" s="4">
        <v>0.245472</v>
      </c>
      <c r="H218" s="4">
        <v>0.245614</v>
      </c>
      <c r="I218" s="3">
        <f t="shared" si="3"/>
        <v>1.4200000000000323E-4</v>
      </c>
    </row>
    <row r="219" spans="1:9" x14ac:dyDescent="0.35">
      <c r="A219" s="2" t="s">
        <v>140</v>
      </c>
      <c r="B219" s="2" t="s">
        <v>131</v>
      </c>
      <c r="C219" s="2" t="s">
        <v>244</v>
      </c>
      <c r="D219" s="2" t="s">
        <v>256</v>
      </c>
      <c r="E219" s="2" t="s">
        <v>236</v>
      </c>
      <c r="F219" s="2" t="s">
        <v>235</v>
      </c>
      <c r="G219" s="4">
        <v>0.282416</v>
      </c>
      <c r="H219" s="4">
        <v>0.28030699999999997</v>
      </c>
      <c r="I219" s="3">
        <f t="shared" si="3"/>
        <v>-2.1090000000000275E-3</v>
      </c>
    </row>
    <row r="220" spans="1:9" x14ac:dyDescent="0.35">
      <c r="A220" s="2" t="s">
        <v>140</v>
      </c>
      <c r="B220" s="2" t="s">
        <v>131</v>
      </c>
      <c r="C220" s="2" t="s">
        <v>244</v>
      </c>
      <c r="D220" s="2" t="s">
        <v>256</v>
      </c>
      <c r="E220" s="2" t="s">
        <v>237</v>
      </c>
      <c r="F220" s="2" t="s">
        <v>235</v>
      </c>
      <c r="G220" s="4">
        <v>0.28014600000000001</v>
      </c>
      <c r="H220" s="4">
        <v>0.27712799999999999</v>
      </c>
      <c r="I220" s="3">
        <f t="shared" si="3"/>
        <v>-3.0180000000000207E-3</v>
      </c>
    </row>
    <row r="221" spans="1:9" ht="28" x14ac:dyDescent="0.35">
      <c r="A221" s="2" t="s">
        <v>140</v>
      </c>
      <c r="B221" s="2" t="s">
        <v>131</v>
      </c>
      <c r="C221" s="2" t="s">
        <v>244</v>
      </c>
      <c r="D221" s="2" t="s">
        <v>256</v>
      </c>
      <c r="E221" s="2" t="s">
        <v>238</v>
      </c>
      <c r="F221" s="2" t="s">
        <v>239</v>
      </c>
      <c r="G221" s="4">
        <v>0.80170200000000003</v>
      </c>
      <c r="H221" s="4">
        <v>0.80189100000000002</v>
      </c>
      <c r="I221" s="3">
        <f t="shared" si="3"/>
        <v>1.8899999999999473E-4</v>
      </c>
    </row>
    <row r="222" spans="1:9" x14ac:dyDescent="0.35">
      <c r="A222" s="2" t="s">
        <v>140</v>
      </c>
      <c r="B222" s="2" t="s">
        <v>131</v>
      </c>
      <c r="C222" s="2" t="s">
        <v>244</v>
      </c>
      <c r="D222" s="2" t="s">
        <v>256</v>
      </c>
      <c r="E222" s="2" t="s">
        <v>238</v>
      </c>
      <c r="F222" s="2" t="s">
        <v>240</v>
      </c>
      <c r="G222" s="4">
        <v>0.55312099999999997</v>
      </c>
      <c r="H222" s="4">
        <v>0.55316399999999999</v>
      </c>
      <c r="I222" s="3">
        <f t="shared" si="3"/>
        <v>4.3000000000015248E-5</v>
      </c>
    </row>
    <row r="223" spans="1:9" ht="28" x14ac:dyDescent="0.35">
      <c r="A223" s="2" t="s">
        <v>140</v>
      </c>
      <c r="B223" s="2" t="s">
        <v>131</v>
      </c>
      <c r="C223" s="2" t="s">
        <v>244</v>
      </c>
      <c r="D223" s="2" t="s">
        <v>256</v>
      </c>
      <c r="E223" s="2" t="s">
        <v>241</v>
      </c>
      <c r="F223" s="2" t="s">
        <v>239</v>
      </c>
      <c r="G223" s="4">
        <v>0.82854399999999995</v>
      </c>
      <c r="H223" s="4">
        <v>0.82737400000000005</v>
      </c>
      <c r="I223" s="3">
        <f t="shared" si="3"/>
        <v>-1.1699999999998933E-3</v>
      </c>
    </row>
    <row r="224" spans="1:9" x14ac:dyDescent="0.35">
      <c r="A224" s="2" t="s">
        <v>140</v>
      </c>
      <c r="B224" s="2" t="s">
        <v>131</v>
      </c>
      <c r="C224" s="2" t="s">
        <v>244</v>
      </c>
      <c r="D224" s="2" t="s">
        <v>256</v>
      </c>
      <c r="E224" s="2" t="s">
        <v>241</v>
      </c>
      <c r="F224" s="2" t="s">
        <v>240</v>
      </c>
      <c r="G224" s="4">
        <v>0.61828399999999994</v>
      </c>
      <c r="H224" s="4">
        <v>0.61991399999999997</v>
      </c>
      <c r="I224" s="3">
        <f t="shared" si="3"/>
        <v>1.6300000000000203E-3</v>
      </c>
    </row>
    <row r="225" spans="1:9" ht="28" x14ac:dyDescent="0.35">
      <c r="A225" s="2" t="s">
        <v>140</v>
      </c>
      <c r="B225" s="2" t="s">
        <v>131</v>
      </c>
      <c r="C225" s="2" t="s">
        <v>244</v>
      </c>
      <c r="D225" s="2" t="s">
        <v>256</v>
      </c>
      <c r="E225" s="2" t="s">
        <v>242</v>
      </c>
      <c r="F225" s="2" t="s">
        <v>239</v>
      </c>
      <c r="G225" s="4">
        <v>0.83161499999999999</v>
      </c>
      <c r="H225" s="4">
        <v>0.82939300000000005</v>
      </c>
      <c r="I225" s="3">
        <f t="shared" si="3"/>
        <v>-2.2219999999999462E-3</v>
      </c>
    </row>
    <row r="226" spans="1:9" x14ac:dyDescent="0.35">
      <c r="A226" s="2" t="s">
        <v>140</v>
      </c>
      <c r="B226" s="2" t="s">
        <v>131</v>
      </c>
      <c r="C226" s="2" t="s">
        <v>244</v>
      </c>
      <c r="D226" s="2" t="s">
        <v>256</v>
      </c>
      <c r="E226" s="2" t="s">
        <v>242</v>
      </c>
      <c r="F226" s="2" t="s">
        <v>240</v>
      </c>
      <c r="G226" s="4">
        <v>0.63358099999999995</v>
      </c>
      <c r="H226" s="4">
        <v>0.63247100000000001</v>
      </c>
      <c r="I226" s="3">
        <f t="shared" si="3"/>
        <v>-1.1099999999999444E-3</v>
      </c>
    </row>
    <row r="227" spans="1:9" x14ac:dyDescent="0.35">
      <c r="A227" s="2" t="s">
        <v>144</v>
      </c>
      <c r="B227" s="2" t="s">
        <v>147</v>
      </c>
      <c r="C227" s="2" t="s">
        <v>244</v>
      </c>
      <c r="D227" s="2" t="s">
        <v>248</v>
      </c>
      <c r="E227" s="2" t="s">
        <v>234</v>
      </c>
      <c r="F227" s="2" t="s">
        <v>235</v>
      </c>
      <c r="G227" s="4">
        <v>0.31461099999999997</v>
      </c>
      <c r="H227" s="4">
        <v>0.31464599999999998</v>
      </c>
      <c r="I227" s="3">
        <f t="shared" si="3"/>
        <v>3.5000000000007248E-5</v>
      </c>
    </row>
    <row r="228" spans="1:9" x14ac:dyDescent="0.35">
      <c r="A228" s="2" t="s">
        <v>144</v>
      </c>
      <c r="B228" s="2" t="s">
        <v>147</v>
      </c>
      <c r="C228" s="2" t="s">
        <v>244</v>
      </c>
      <c r="D228" s="2" t="s">
        <v>248</v>
      </c>
      <c r="E228" s="2" t="s">
        <v>236</v>
      </c>
      <c r="F228" s="2" t="s">
        <v>235</v>
      </c>
      <c r="G228" s="4">
        <v>0.36653999999999998</v>
      </c>
      <c r="H228" s="4">
        <v>0.366394</v>
      </c>
      <c r="I228" s="3">
        <f t="shared" si="3"/>
        <v>-1.4599999999997948E-4</v>
      </c>
    </row>
    <row r="229" spans="1:9" x14ac:dyDescent="0.35">
      <c r="A229" s="2" t="s">
        <v>144</v>
      </c>
      <c r="B229" s="2" t="s">
        <v>147</v>
      </c>
      <c r="C229" s="2" t="s">
        <v>244</v>
      </c>
      <c r="D229" s="2" t="s">
        <v>248</v>
      </c>
      <c r="E229" s="2" t="s">
        <v>237</v>
      </c>
      <c r="F229" s="2" t="s">
        <v>235</v>
      </c>
      <c r="G229" s="4">
        <v>0.34986600000000001</v>
      </c>
      <c r="H229" s="4">
        <v>0.35981800000000003</v>
      </c>
      <c r="I229" s="3">
        <f t="shared" si="3"/>
        <v>9.9520000000000164E-3</v>
      </c>
    </row>
    <row r="230" spans="1:9" ht="28" x14ac:dyDescent="0.35">
      <c r="A230" s="2" t="s">
        <v>144</v>
      </c>
      <c r="B230" s="2" t="s">
        <v>147</v>
      </c>
      <c r="C230" s="2" t="s">
        <v>244</v>
      </c>
      <c r="D230" s="2" t="s">
        <v>248</v>
      </c>
      <c r="E230" s="2" t="s">
        <v>238</v>
      </c>
      <c r="F230" s="2" t="s">
        <v>239</v>
      </c>
      <c r="G230" s="4">
        <v>0.79687799999999998</v>
      </c>
      <c r="H230" s="4">
        <v>0.79701699999999998</v>
      </c>
      <c r="I230" s="3">
        <f t="shared" si="3"/>
        <v>1.3900000000000023E-4</v>
      </c>
    </row>
    <row r="231" spans="1:9" x14ac:dyDescent="0.35">
      <c r="A231" s="2" t="s">
        <v>144</v>
      </c>
      <c r="B231" s="2" t="s">
        <v>147</v>
      </c>
      <c r="C231" s="2" t="s">
        <v>244</v>
      </c>
      <c r="D231" s="2" t="s">
        <v>248</v>
      </c>
      <c r="E231" s="2" t="s">
        <v>238</v>
      </c>
      <c r="F231" s="2" t="s">
        <v>240</v>
      </c>
      <c r="G231" s="4">
        <v>0.56104900000000002</v>
      </c>
      <c r="H231" s="4">
        <v>0.56080200000000002</v>
      </c>
      <c r="I231" s="3">
        <f t="shared" si="3"/>
        <v>-2.4699999999999722E-4</v>
      </c>
    </row>
    <row r="232" spans="1:9" ht="28" x14ac:dyDescent="0.35">
      <c r="A232" s="2" t="s">
        <v>144</v>
      </c>
      <c r="B232" s="2" t="s">
        <v>147</v>
      </c>
      <c r="C232" s="2" t="s">
        <v>244</v>
      </c>
      <c r="D232" s="2" t="s">
        <v>248</v>
      </c>
      <c r="E232" s="2" t="s">
        <v>241</v>
      </c>
      <c r="F232" s="2" t="s">
        <v>239</v>
      </c>
      <c r="G232" s="4">
        <v>0.82152199999999997</v>
      </c>
      <c r="H232" s="4">
        <v>0.81978700000000004</v>
      </c>
      <c r="I232" s="3">
        <f t="shared" si="3"/>
        <v>-1.734999999999931E-3</v>
      </c>
    </row>
    <row r="233" spans="1:9" x14ac:dyDescent="0.35">
      <c r="A233" s="2" t="s">
        <v>144</v>
      </c>
      <c r="B233" s="2" t="s">
        <v>147</v>
      </c>
      <c r="C233" s="2" t="s">
        <v>244</v>
      </c>
      <c r="D233" s="2" t="s">
        <v>248</v>
      </c>
      <c r="E233" s="2" t="s">
        <v>241</v>
      </c>
      <c r="F233" s="2" t="s">
        <v>240</v>
      </c>
      <c r="G233" s="4">
        <v>0.61744399999999999</v>
      </c>
      <c r="H233" s="4">
        <v>0.61953800000000003</v>
      </c>
      <c r="I233" s="3">
        <f t="shared" si="3"/>
        <v>2.0940000000000403E-3</v>
      </c>
    </row>
    <row r="234" spans="1:9" ht="28" x14ac:dyDescent="0.35">
      <c r="A234" s="2" t="s">
        <v>144</v>
      </c>
      <c r="B234" s="2" t="s">
        <v>147</v>
      </c>
      <c r="C234" s="2" t="s">
        <v>244</v>
      </c>
      <c r="D234" s="2" t="s">
        <v>248</v>
      </c>
      <c r="E234" s="2" t="s">
        <v>242</v>
      </c>
      <c r="F234" s="2" t="s">
        <v>239</v>
      </c>
      <c r="G234" s="4">
        <v>0.82388600000000001</v>
      </c>
      <c r="H234" s="4">
        <v>0.82435700000000001</v>
      </c>
      <c r="I234" s="3">
        <f t="shared" si="3"/>
        <v>4.709999999999992E-4</v>
      </c>
    </row>
    <row r="235" spans="1:9" x14ac:dyDescent="0.35">
      <c r="A235" s="2" t="s">
        <v>144</v>
      </c>
      <c r="B235" s="2" t="s">
        <v>147</v>
      </c>
      <c r="C235" s="2" t="s">
        <v>244</v>
      </c>
      <c r="D235" s="2" t="s">
        <v>248</v>
      </c>
      <c r="E235" s="2" t="s">
        <v>242</v>
      </c>
      <c r="F235" s="2" t="s">
        <v>240</v>
      </c>
      <c r="G235" s="4">
        <v>0.63169399999999998</v>
      </c>
      <c r="H235" s="4">
        <v>0.63271599999999995</v>
      </c>
      <c r="I235" s="3">
        <f t="shared" si="3"/>
        <v>1.0219999999999674E-3</v>
      </c>
    </row>
    <row r="236" spans="1:9" x14ac:dyDescent="0.35">
      <c r="A236" s="2" t="s">
        <v>149</v>
      </c>
      <c r="B236" s="2" t="s">
        <v>151</v>
      </c>
      <c r="C236" s="2" t="s">
        <v>257</v>
      </c>
      <c r="D236" s="2" t="s">
        <v>258</v>
      </c>
      <c r="E236" s="2" t="s">
        <v>234</v>
      </c>
      <c r="F236" s="2" t="s">
        <v>235</v>
      </c>
      <c r="G236" s="4">
        <v>0.3599</v>
      </c>
      <c r="H236" s="4">
        <v>0.36027500000000001</v>
      </c>
      <c r="I236" s="3">
        <f t="shared" si="3"/>
        <v>3.7500000000001421E-4</v>
      </c>
    </row>
    <row r="237" spans="1:9" x14ac:dyDescent="0.35">
      <c r="A237" s="2" t="s">
        <v>149</v>
      </c>
      <c r="B237" s="2" t="s">
        <v>151</v>
      </c>
      <c r="C237" s="2" t="s">
        <v>257</v>
      </c>
      <c r="D237" s="2" t="s">
        <v>258</v>
      </c>
      <c r="E237" s="2" t="s">
        <v>236</v>
      </c>
      <c r="F237" s="2" t="s">
        <v>235</v>
      </c>
      <c r="G237" s="4">
        <v>0.35105799999999998</v>
      </c>
      <c r="H237" s="4">
        <v>0.35072399999999998</v>
      </c>
      <c r="I237" s="3">
        <f t="shared" si="3"/>
        <v>-3.3400000000000096E-4</v>
      </c>
    </row>
    <row r="238" spans="1:9" x14ac:dyDescent="0.35">
      <c r="A238" s="2" t="s">
        <v>149</v>
      </c>
      <c r="B238" s="2" t="s">
        <v>151</v>
      </c>
      <c r="C238" s="2" t="s">
        <v>257</v>
      </c>
      <c r="D238" s="2" t="s">
        <v>258</v>
      </c>
      <c r="E238" s="2" t="s">
        <v>237</v>
      </c>
      <c r="F238" s="2" t="s">
        <v>235</v>
      </c>
      <c r="G238" s="4">
        <v>0.32555699999999999</v>
      </c>
      <c r="H238" s="4">
        <v>0.32875399999999999</v>
      </c>
      <c r="I238" s="3">
        <f t="shared" si="3"/>
        <v>3.1970000000000054E-3</v>
      </c>
    </row>
    <row r="239" spans="1:9" ht="28" x14ac:dyDescent="0.35">
      <c r="A239" s="2" t="s">
        <v>149</v>
      </c>
      <c r="B239" s="2" t="s">
        <v>151</v>
      </c>
      <c r="C239" s="2" t="s">
        <v>257</v>
      </c>
      <c r="D239" s="2" t="s">
        <v>258</v>
      </c>
      <c r="E239" s="2" t="s">
        <v>238</v>
      </c>
      <c r="F239" s="2" t="s">
        <v>239</v>
      </c>
      <c r="G239" s="4">
        <v>0.81636699999999995</v>
      </c>
      <c r="H239" s="4">
        <v>0.81729700000000005</v>
      </c>
      <c r="I239" s="3">
        <f t="shared" si="3"/>
        <v>9.3000000000009742E-4</v>
      </c>
    </row>
    <row r="240" spans="1:9" x14ac:dyDescent="0.35">
      <c r="A240" s="2" t="s">
        <v>149</v>
      </c>
      <c r="B240" s="2" t="s">
        <v>151</v>
      </c>
      <c r="C240" s="2" t="s">
        <v>257</v>
      </c>
      <c r="D240" s="2" t="s">
        <v>258</v>
      </c>
      <c r="E240" s="2" t="s">
        <v>238</v>
      </c>
      <c r="F240" s="2" t="s">
        <v>240</v>
      </c>
      <c r="G240" s="4">
        <v>0.55715800000000004</v>
      </c>
      <c r="H240" s="4">
        <v>0.55761300000000003</v>
      </c>
      <c r="I240" s="3">
        <f t="shared" si="3"/>
        <v>4.549999999999832E-4</v>
      </c>
    </row>
    <row r="241" spans="1:9" ht="28" x14ac:dyDescent="0.35">
      <c r="A241" s="2" t="s">
        <v>149</v>
      </c>
      <c r="B241" s="2" t="s">
        <v>151</v>
      </c>
      <c r="C241" s="2" t="s">
        <v>257</v>
      </c>
      <c r="D241" s="2" t="s">
        <v>258</v>
      </c>
      <c r="E241" s="2" t="s">
        <v>241</v>
      </c>
      <c r="F241" s="2" t="s">
        <v>239</v>
      </c>
      <c r="G241" s="4">
        <v>0.83724399999999999</v>
      </c>
      <c r="H241" s="4">
        <v>0.83750500000000005</v>
      </c>
      <c r="I241" s="3">
        <f t="shared" si="3"/>
        <v>2.6100000000006673E-4</v>
      </c>
    </row>
    <row r="242" spans="1:9" x14ac:dyDescent="0.35">
      <c r="A242" s="2" t="s">
        <v>149</v>
      </c>
      <c r="B242" s="2" t="s">
        <v>151</v>
      </c>
      <c r="C242" s="2" t="s">
        <v>257</v>
      </c>
      <c r="D242" s="2" t="s">
        <v>258</v>
      </c>
      <c r="E242" s="2" t="s">
        <v>241</v>
      </c>
      <c r="F242" s="2" t="s">
        <v>240</v>
      </c>
      <c r="G242" s="4">
        <v>0.61881200000000003</v>
      </c>
      <c r="H242" s="4">
        <v>0.62177000000000004</v>
      </c>
      <c r="I242" s="3">
        <f t="shared" si="3"/>
        <v>2.9580000000000162E-3</v>
      </c>
    </row>
    <row r="243" spans="1:9" ht="28" x14ac:dyDescent="0.35">
      <c r="A243" s="2" t="s">
        <v>149</v>
      </c>
      <c r="B243" s="2" t="s">
        <v>151</v>
      </c>
      <c r="C243" s="2" t="s">
        <v>257</v>
      </c>
      <c r="D243" s="2" t="s">
        <v>258</v>
      </c>
      <c r="E243" s="2" t="s">
        <v>242</v>
      </c>
      <c r="F243" s="2" t="s">
        <v>239</v>
      </c>
      <c r="G243" s="4">
        <v>0.83833299999999999</v>
      </c>
      <c r="H243" s="4">
        <v>0.83713599999999999</v>
      </c>
      <c r="I243" s="3">
        <f t="shared" si="3"/>
        <v>-1.1970000000000036E-3</v>
      </c>
    </row>
    <row r="244" spans="1:9" x14ac:dyDescent="0.35">
      <c r="A244" s="2" t="s">
        <v>149</v>
      </c>
      <c r="B244" s="2" t="s">
        <v>151</v>
      </c>
      <c r="C244" s="2" t="s">
        <v>257</v>
      </c>
      <c r="D244" s="2" t="s">
        <v>258</v>
      </c>
      <c r="E244" s="2" t="s">
        <v>242</v>
      </c>
      <c r="F244" s="2" t="s">
        <v>240</v>
      </c>
      <c r="G244" s="4">
        <v>0.63338399999999995</v>
      </c>
      <c r="H244" s="4">
        <v>0.633131</v>
      </c>
      <c r="I244" s="3">
        <f t="shared" si="3"/>
        <v>-2.5299999999994771E-4</v>
      </c>
    </row>
    <row r="245" spans="1:9" x14ac:dyDescent="0.35">
      <c r="A245" s="2" t="s">
        <v>152</v>
      </c>
      <c r="B245" s="2" t="s">
        <v>154</v>
      </c>
      <c r="C245" s="2" t="s">
        <v>259</v>
      </c>
      <c r="D245" s="2" t="s">
        <v>260</v>
      </c>
      <c r="E245" s="2" t="s">
        <v>234</v>
      </c>
      <c r="F245" s="2" t="s">
        <v>235</v>
      </c>
      <c r="G245" s="4">
        <v>0.24327699999999999</v>
      </c>
      <c r="H245" s="4">
        <v>0.24281</v>
      </c>
      <c r="I245" s="3">
        <f t="shared" si="3"/>
        <v>-4.669999999999952E-4</v>
      </c>
    </row>
    <row r="246" spans="1:9" x14ac:dyDescent="0.35">
      <c r="A246" s="2" t="s">
        <v>152</v>
      </c>
      <c r="B246" s="2" t="s">
        <v>154</v>
      </c>
      <c r="C246" s="2" t="s">
        <v>259</v>
      </c>
      <c r="D246" s="2" t="s">
        <v>260</v>
      </c>
      <c r="E246" s="2" t="s">
        <v>236</v>
      </c>
      <c r="F246" s="2" t="s">
        <v>235</v>
      </c>
      <c r="G246" s="4">
        <v>0.34002199999999999</v>
      </c>
      <c r="H246" s="4">
        <v>0.34137000000000001</v>
      </c>
      <c r="I246" s="3">
        <f t="shared" si="3"/>
        <v>1.3480000000000159E-3</v>
      </c>
    </row>
    <row r="247" spans="1:9" x14ac:dyDescent="0.35">
      <c r="A247" s="2" t="s">
        <v>152</v>
      </c>
      <c r="B247" s="2" t="s">
        <v>154</v>
      </c>
      <c r="C247" s="2" t="s">
        <v>259</v>
      </c>
      <c r="D247" s="2" t="s">
        <v>260</v>
      </c>
      <c r="E247" s="2" t="s">
        <v>237</v>
      </c>
      <c r="F247" s="2" t="s">
        <v>235</v>
      </c>
      <c r="G247" s="4">
        <v>0.33022400000000002</v>
      </c>
      <c r="H247" s="4">
        <v>0.33205600000000002</v>
      </c>
      <c r="I247" s="3">
        <f t="shared" si="3"/>
        <v>1.8320000000000003E-3</v>
      </c>
    </row>
    <row r="248" spans="1:9" ht="28" x14ac:dyDescent="0.35">
      <c r="A248" s="2" t="s">
        <v>152</v>
      </c>
      <c r="B248" s="2" t="s">
        <v>154</v>
      </c>
      <c r="C248" s="2" t="s">
        <v>259</v>
      </c>
      <c r="D248" s="2" t="s">
        <v>260</v>
      </c>
      <c r="E248" s="2" t="s">
        <v>238</v>
      </c>
      <c r="F248" s="2" t="s">
        <v>239</v>
      </c>
      <c r="G248" s="4">
        <v>0.79859000000000002</v>
      </c>
      <c r="H248" s="4">
        <v>0.798736</v>
      </c>
      <c r="I248" s="3">
        <f t="shared" si="3"/>
        <v>1.4599999999997948E-4</v>
      </c>
    </row>
    <row r="249" spans="1:9" x14ac:dyDescent="0.35">
      <c r="A249" s="2" t="s">
        <v>152</v>
      </c>
      <c r="B249" s="2" t="s">
        <v>154</v>
      </c>
      <c r="C249" s="2" t="s">
        <v>259</v>
      </c>
      <c r="D249" s="2" t="s">
        <v>260</v>
      </c>
      <c r="E249" s="2" t="s">
        <v>238</v>
      </c>
      <c r="F249" s="2" t="s">
        <v>240</v>
      </c>
      <c r="G249" s="4">
        <v>0.51651000000000002</v>
      </c>
      <c r="H249" s="4">
        <v>0.51867300000000005</v>
      </c>
      <c r="I249" s="3">
        <f t="shared" si="3"/>
        <v>2.163000000000026E-3</v>
      </c>
    </row>
    <row r="250" spans="1:9" ht="28" x14ac:dyDescent="0.35">
      <c r="A250" s="2" t="s">
        <v>152</v>
      </c>
      <c r="B250" s="2" t="s">
        <v>154</v>
      </c>
      <c r="C250" s="2" t="s">
        <v>259</v>
      </c>
      <c r="D250" s="2" t="s">
        <v>260</v>
      </c>
      <c r="E250" s="2" t="s">
        <v>241</v>
      </c>
      <c r="F250" s="2" t="s">
        <v>239</v>
      </c>
      <c r="G250" s="4">
        <v>0.83457499999999996</v>
      </c>
      <c r="H250" s="4">
        <v>0.83345000000000002</v>
      </c>
      <c r="I250" s="3">
        <f t="shared" si="3"/>
        <v>-1.1249999999999316E-3</v>
      </c>
    </row>
    <row r="251" spans="1:9" x14ac:dyDescent="0.35">
      <c r="A251" s="2" t="s">
        <v>152</v>
      </c>
      <c r="B251" s="2" t="s">
        <v>154</v>
      </c>
      <c r="C251" s="2" t="s">
        <v>259</v>
      </c>
      <c r="D251" s="2" t="s">
        <v>260</v>
      </c>
      <c r="E251" s="2" t="s">
        <v>241</v>
      </c>
      <c r="F251" s="2" t="s">
        <v>240</v>
      </c>
      <c r="G251" s="4">
        <v>0.62294300000000002</v>
      </c>
      <c r="H251" s="4">
        <v>0.62447600000000003</v>
      </c>
      <c r="I251" s="3">
        <f t="shared" si="3"/>
        <v>1.5330000000000066E-3</v>
      </c>
    </row>
    <row r="252" spans="1:9" ht="28" x14ac:dyDescent="0.35">
      <c r="A252" s="2" t="s">
        <v>152</v>
      </c>
      <c r="B252" s="2" t="s">
        <v>154</v>
      </c>
      <c r="C252" s="2" t="s">
        <v>259</v>
      </c>
      <c r="D252" s="2" t="s">
        <v>260</v>
      </c>
      <c r="E252" s="2" t="s">
        <v>242</v>
      </c>
      <c r="F252" s="2" t="s">
        <v>239</v>
      </c>
      <c r="G252" s="4">
        <v>0.83736999999999995</v>
      </c>
      <c r="H252" s="4">
        <v>0.83604199999999995</v>
      </c>
      <c r="I252" s="3">
        <f t="shared" si="3"/>
        <v>-1.3279999999999959E-3</v>
      </c>
    </row>
    <row r="253" spans="1:9" x14ac:dyDescent="0.35">
      <c r="A253" s="2" t="s">
        <v>152</v>
      </c>
      <c r="B253" s="2" t="s">
        <v>154</v>
      </c>
      <c r="C253" s="2" t="s">
        <v>259</v>
      </c>
      <c r="D253" s="2" t="s">
        <v>260</v>
      </c>
      <c r="E253" s="2" t="s">
        <v>242</v>
      </c>
      <c r="F253" s="2" t="s">
        <v>240</v>
      </c>
      <c r="G253" s="4">
        <v>0.63007999999999997</v>
      </c>
      <c r="H253" s="4">
        <v>0.63145200000000001</v>
      </c>
      <c r="I253" s="3">
        <f t="shared" si="3"/>
        <v>1.3720000000000399E-3</v>
      </c>
    </row>
    <row r="254" spans="1:9" x14ac:dyDescent="0.35">
      <c r="A254" s="2" t="s">
        <v>155</v>
      </c>
      <c r="B254" s="2" t="s">
        <v>147</v>
      </c>
      <c r="C254" s="2" t="s">
        <v>244</v>
      </c>
      <c r="D254" s="2" t="s">
        <v>251</v>
      </c>
      <c r="E254" s="2" t="s">
        <v>234</v>
      </c>
      <c r="F254" s="2" t="s">
        <v>235</v>
      </c>
      <c r="G254" s="4">
        <v>0.31461099999999997</v>
      </c>
      <c r="H254" s="4">
        <v>0.312699</v>
      </c>
      <c r="I254" s="3">
        <f t="shared" si="3"/>
        <v>-1.9119999999999693E-3</v>
      </c>
    </row>
    <row r="255" spans="1:9" x14ac:dyDescent="0.35">
      <c r="A255" s="2" t="s">
        <v>155</v>
      </c>
      <c r="B255" s="2" t="s">
        <v>147</v>
      </c>
      <c r="C255" s="2" t="s">
        <v>244</v>
      </c>
      <c r="D255" s="2" t="s">
        <v>251</v>
      </c>
      <c r="E255" s="2" t="s">
        <v>236</v>
      </c>
      <c r="F255" s="2" t="s">
        <v>235</v>
      </c>
      <c r="G255" s="4">
        <v>0.36653999999999998</v>
      </c>
      <c r="H255" s="4">
        <v>0.36598700000000001</v>
      </c>
      <c r="I255" s="3">
        <f t="shared" si="3"/>
        <v>-5.5299999999997018E-4</v>
      </c>
    </row>
    <row r="256" spans="1:9" x14ac:dyDescent="0.35">
      <c r="A256" s="2" t="s">
        <v>155</v>
      </c>
      <c r="B256" s="2" t="s">
        <v>147</v>
      </c>
      <c r="C256" s="2" t="s">
        <v>244</v>
      </c>
      <c r="D256" s="2" t="s">
        <v>251</v>
      </c>
      <c r="E256" s="2" t="s">
        <v>237</v>
      </c>
      <c r="F256" s="2" t="s">
        <v>235</v>
      </c>
      <c r="G256" s="4">
        <v>0.34986600000000001</v>
      </c>
      <c r="H256" s="4">
        <v>0.36129699999999998</v>
      </c>
      <c r="I256" s="3">
        <f t="shared" si="3"/>
        <v>1.1430999999999969E-2</v>
      </c>
    </row>
    <row r="257" spans="1:9" ht="28" x14ac:dyDescent="0.35">
      <c r="A257" s="2" t="s">
        <v>155</v>
      </c>
      <c r="B257" s="2" t="s">
        <v>147</v>
      </c>
      <c r="C257" s="2" t="s">
        <v>244</v>
      </c>
      <c r="D257" s="2" t="s">
        <v>251</v>
      </c>
      <c r="E257" s="2" t="s">
        <v>238</v>
      </c>
      <c r="F257" s="2" t="s">
        <v>239</v>
      </c>
      <c r="G257" s="4">
        <v>0.79687799999999998</v>
      </c>
      <c r="H257" s="4">
        <v>0.79722099999999996</v>
      </c>
      <c r="I257" s="3">
        <f t="shared" si="3"/>
        <v>3.4299999999998221E-4</v>
      </c>
    </row>
    <row r="258" spans="1:9" x14ac:dyDescent="0.35">
      <c r="A258" s="2" t="s">
        <v>155</v>
      </c>
      <c r="B258" s="2" t="s">
        <v>147</v>
      </c>
      <c r="C258" s="2" t="s">
        <v>244</v>
      </c>
      <c r="D258" s="2" t="s">
        <v>251</v>
      </c>
      <c r="E258" s="2" t="s">
        <v>238</v>
      </c>
      <c r="F258" s="2" t="s">
        <v>240</v>
      </c>
      <c r="G258" s="4">
        <v>0.56104900000000002</v>
      </c>
      <c r="H258" s="4">
        <v>0.56600799999999996</v>
      </c>
      <c r="I258" s="3">
        <f t="shared" ref="I258:I321" si="4">H258-G258</f>
        <v>4.9589999999999357E-3</v>
      </c>
    </row>
    <row r="259" spans="1:9" ht="28" x14ac:dyDescent="0.35">
      <c r="A259" s="2" t="s">
        <v>155</v>
      </c>
      <c r="B259" s="2" t="s">
        <v>147</v>
      </c>
      <c r="C259" s="2" t="s">
        <v>244</v>
      </c>
      <c r="D259" s="2" t="s">
        <v>251</v>
      </c>
      <c r="E259" s="2" t="s">
        <v>241</v>
      </c>
      <c r="F259" s="2" t="s">
        <v>239</v>
      </c>
      <c r="G259" s="4">
        <v>0.82152199999999997</v>
      </c>
      <c r="H259" s="4">
        <v>0.81963399999999997</v>
      </c>
      <c r="I259" s="3">
        <f t="shared" si="4"/>
        <v>-1.8880000000000008E-3</v>
      </c>
    </row>
    <row r="260" spans="1:9" x14ac:dyDescent="0.35">
      <c r="A260" s="2" t="s">
        <v>155</v>
      </c>
      <c r="B260" s="2" t="s">
        <v>147</v>
      </c>
      <c r="C260" s="2" t="s">
        <v>244</v>
      </c>
      <c r="D260" s="2" t="s">
        <v>251</v>
      </c>
      <c r="E260" s="2" t="s">
        <v>241</v>
      </c>
      <c r="F260" s="2" t="s">
        <v>240</v>
      </c>
      <c r="G260" s="4">
        <v>0.61744399999999999</v>
      </c>
      <c r="H260" s="4">
        <v>0.61469300000000004</v>
      </c>
      <c r="I260" s="3">
        <f t="shared" si="4"/>
        <v>-2.7509999999999479E-3</v>
      </c>
    </row>
    <row r="261" spans="1:9" ht="28" x14ac:dyDescent="0.35">
      <c r="A261" s="2" t="s">
        <v>155</v>
      </c>
      <c r="B261" s="2" t="s">
        <v>147</v>
      </c>
      <c r="C261" s="2" t="s">
        <v>244</v>
      </c>
      <c r="D261" s="2" t="s">
        <v>251</v>
      </c>
      <c r="E261" s="2" t="s">
        <v>242</v>
      </c>
      <c r="F261" s="2" t="s">
        <v>239</v>
      </c>
      <c r="G261" s="4">
        <v>0.82388600000000001</v>
      </c>
      <c r="H261" s="4">
        <v>0.82582500000000003</v>
      </c>
      <c r="I261" s="3">
        <f t="shared" si="4"/>
        <v>1.939000000000024E-3</v>
      </c>
    </row>
    <row r="262" spans="1:9" x14ac:dyDescent="0.35">
      <c r="A262" s="2" t="s">
        <v>155</v>
      </c>
      <c r="B262" s="2" t="s">
        <v>147</v>
      </c>
      <c r="C262" s="2" t="s">
        <v>244</v>
      </c>
      <c r="D262" s="2" t="s">
        <v>251</v>
      </c>
      <c r="E262" s="2" t="s">
        <v>242</v>
      </c>
      <c r="F262" s="2" t="s">
        <v>240</v>
      </c>
      <c r="G262" s="4">
        <v>0.63169399999999998</v>
      </c>
      <c r="H262" s="4">
        <v>0.63249299999999997</v>
      </c>
      <c r="I262" s="3">
        <f t="shared" si="4"/>
        <v>7.9899999999999416E-4</v>
      </c>
    </row>
    <row r="263" spans="1:9" x14ac:dyDescent="0.35">
      <c r="A263" s="2" t="s">
        <v>158</v>
      </c>
      <c r="B263" s="2" t="s">
        <v>151</v>
      </c>
      <c r="C263" s="2" t="s">
        <v>257</v>
      </c>
      <c r="D263" s="2" t="s">
        <v>261</v>
      </c>
      <c r="E263" s="2" t="s">
        <v>234</v>
      </c>
      <c r="F263" s="2" t="s">
        <v>235</v>
      </c>
      <c r="G263" s="4">
        <v>0.3599</v>
      </c>
      <c r="H263" s="4">
        <v>0.36115999999999998</v>
      </c>
      <c r="I263" s="3">
        <f t="shared" si="4"/>
        <v>1.2599999999999834E-3</v>
      </c>
    </row>
    <row r="264" spans="1:9" x14ac:dyDescent="0.35">
      <c r="A264" s="2" t="s">
        <v>158</v>
      </c>
      <c r="B264" s="2" t="s">
        <v>151</v>
      </c>
      <c r="C264" s="2" t="s">
        <v>257</v>
      </c>
      <c r="D264" s="2" t="s">
        <v>261</v>
      </c>
      <c r="E264" s="2" t="s">
        <v>236</v>
      </c>
      <c r="F264" s="2" t="s">
        <v>235</v>
      </c>
      <c r="G264" s="4">
        <v>0.35105799999999998</v>
      </c>
      <c r="H264" s="4">
        <v>0.34962399999999999</v>
      </c>
      <c r="I264" s="3">
        <f t="shared" si="4"/>
        <v>-1.4339999999999908E-3</v>
      </c>
    </row>
    <row r="265" spans="1:9" x14ac:dyDescent="0.35">
      <c r="A265" s="2" t="s">
        <v>158</v>
      </c>
      <c r="B265" s="2" t="s">
        <v>151</v>
      </c>
      <c r="C265" s="2" t="s">
        <v>257</v>
      </c>
      <c r="D265" s="2" t="s">
        <v>261</v>
      </c>
      <c r="E265" s="2" t="s">
        <v>237</v>
      </c>
      <c r="F265" s="2" t="s">
        <v>235</v>
      </c>
      <c r="G265" s="4">
        <v>0.32555699999999999</v>
      </c>
      <c r="H265" s="4">
        <v>0.34744999999999998</v>
      </c>
      <c r="I265" s="3">
        <f t="shared" si="4"/>
        <v>2.1892999999999996E-2</v>
      </c>
    </row>
    <row r="266" spans="1:9" ht="28" x14ac:dyDescent="0.35">
      <c r="A266" s="2" t="s">
        <v>158</v>
      </c>
      <c r="B266" s="2" t="s">
        <v>151</v>
      </c>
      <c r="C266" s="2" t="s">
        <v>257</v>
      </c>
      <c r="D266" s="2" t="s">
        <v>261</v>
      </c>
      <c r="E266" s="2" t="s">
        <v>238</v>
      </c>
      <c r="F266" s="2" t="s">
        <v>239</v>
      </c>
      <c r="G266" s="4">
        <v>0.81636699999999995</v>
      </c>
      <c r="H266" s="4">
        <v>0.81864700000000001</v>
      </c>
      <c r="I266" s="3">
        <f t="shared" si="4"/>
        <v>2.2800000000000598E-3</v>
      </c>
    </row>
    <row r="267" spans="1:9" x14ac:dyDescent="0.35">
      <c r="A267" s="2" t="s">
        <v>158</v>
      </c>
      <c r="B267" s="2" t="s">
        <v>151</v>
      </c>
      <c r="C267" s="2" t="s">
        <v>257</v>
      </c>
      <c r="D267" s="2" t="s">
        <v>261</v>
      </c>
      <c r="E267" s="2" t="s">
        <v>238</v>
      </c>
      <c r="F267" s="2" t="s">
        <v>240</v>
      </c>
      <c r="G267" s="4">
        <v>0.55715800000000004</v>
      </c>
      <c r="H267" s="4">
        <v>0.56251300000000004</v>
      </c>
      <c r="I267" s="3">
        <f t="shared" si="4"/>
        <v>5.3549999999999986E-3</v>
      </c>
    </row>
    <row r="268" spans="1:9" ht="28" x14ac:dyDescent="0.35">
      <c r="A268" s="2" t="s">
        <v>158</v>
      </c>
      <c r="B268" s="2" t="s">
        <v>151</v>
      </c>
      <c r="C268" s="2" t="s">
        <v>257</v>
      </c>
      <c r="D268" s="2" t="s">
        <v>261</v>
      </c>
      <c r="E268" s="2" t="s">
        <v>241</v>
      </c>
      <c r="F268" s="2" t="s">
        <v>239</v>
      </c>
      <c r="G268" s="4">
        <v>0.83724399999999999</v>
      </c>
      <c r="H268" s="4">
        <v>0.83829500000000001</v>
      </c>
      <c r="I268" s="3">
        <f t="shared" si="4"/>
        <v>1.0510000000000241E-3</v>
      </c>
    </row>
    <row r="269" spans="1:9" x14ac:dyDescent="0.35">
      <c r="A269" s="2" t="s">
        <v>158</v>
      </c>
      <c r="B269" s="2" t="s">
        <v>151</v>
      </c>
      <c r="C269" s="2" t="s">
        <v>257</v>
      </c>
      <c r="D269" s="2" t="s">
        <v>261</v>
      </c>
      <c r="E269" s="2" t="s">
        <v>241</v>
      </c>
      <c r="F269" s="2" t="s">
        <v>240</v>
      </c>
      <c r="G269" s="4">
        <v>0.61881200000000003</v>
      </c>
      <c r="H269" s="4">
        <v>0.62398200000000004</v>
      </c>
      <c r="I269" s="3">
        <f t="shared" si="4"/>
        <v>5.1700000000000079E-3</v>
      </c>
    </row>
    <row r="270" spans="1:9" ht="28" x14ac:dyDescent="0.35">
      <c r="A270" s="2" t="s">
        <v>158</v>
      </c>
      <c r="B270" s="2" t="s">
        <v>151</v>
      </c>
      <c r="C270" s="2" t="s">
        <v>257</v>
      </c>
      <c r="D270" s="2" t="s">
        <v>261</v>
      </c>
      <c r="E270" s="2" t="s">
        <v>242</v>
      </c>
      <c r="F270" s="2" t="s">
        <v>239</v>
      </c>
      <c r="G270" s="4">
        <v>0.83833299999999999</v>
      </c>
      <c r="H270" s="4">
        <v>0.83796400000000004</v>
      </c>
      <c r="I270" s="3">
        <f t="shared" si="4"/>
        <v>-3.689999999999527E-4</v>
      </c>
    </row>
    <row r="271" spans="1:9" x14ac:dyDescent="0.35">
      <c r="A271" s="2" t="s">
        <v>158</v>
      </c>
      <c r="B271" s="2" t="s">
        <v>151</v>
      </c>
      <c r="C271" s="2" t="s">
        <v>257</v>
      </c>
      <c r="D271" s="2" t="s">
        <v>261</v>
      </c>
      <c r="E271" s="2" t="s">
        <v>242</v>
      </c>
      <c r="F271" s="2" t="s">
        <v>240</v>
      </c>
      <c r="G271" s="4">
        <v>0.63338399999999995</v>
      </c>
      <c r="H271" s="4">
        <v>0.63201600000000002</v>
      </c>
      <c r="I271" s="3">
        <f t="shared" si="4"/>
        <v>-1.3679999999999248E-3</v>
      </c>
    </row>
    <row r="272" spans="1:9" x14ac:dyDescent="0.35">
      <c r="A272" s="2" t="s">
        <v>160</v>
      </c>
      <c r="B272" s="2" t="s">
        <v>154</v>
      </c>
      <c r="C272" s="2" t="s">
        <v>259</v>
      </c>
      <c r="D272" s="2" t="s">
        <v>262</v>
      </c>
      <c r="E272" s="2" t="s">
        <v>234</v>
      </c>
      <c r="F272" s="2" t="s">
        <v>235</v>
      </c>
      <c r="G272" s="4">
        <v>0.24327699999999999</v>
      </c>
      <c r="H272" s="4">
        <v>0.24218300000000001</v>
      </c>
      <c r="I272" s="3">
        <f t="shared" si="4"/>
        <v>-1.0939999999999839E-3</v>
      </c>
    </row>
    <row r="273" spans="1:9" x14ac:dyDescent="0.35">
      <c r="A273" s="2" t="s">
        <v>160</v>
      </c>
      <c r="B273" s="2" t="s">
        <v>154</v>
      </c>
      <c r="C273" s="2" t="s">
        <v>259</v>
      </c>
      <c r="D273" s="2" t="s">
        <v>262</v>
      </c>
      <c r="E273" s="2" t="s">
        <v>236</v>
      </c>
      <c r="F273" s="2" t="s">
        <v>235</v>
      </c>
      <c r="G273" s="4">
        <v>0.34002199999999999</v>
      </c>
      <c r="H273" s="4">
        <v>0.342611</v>
      </c>
      <c r="I273" s="3">
        <f t="shared" si="4"/>
        <v>2.589000000000008E-3</v>
      </c>
    </row>
    <row r="274" spans="1:9" x14ac:dyDescent="0.35">
      <c r="A274" s="2" t="s">
        <v>160</v>
      </c>
      <c r="B274" s="2" t="s">
        <v>154</v>
      </c>
      <c r="C274" s="2" t="s">
        <v>259</v>
      </c>
      <c r="D274" s="2" t="s">
        <v>262</v>
      </c>
      <c r="E274" s="2" t="s">
        <v>237</v>
      </c>
      <c r="F274" s="2" t="s">
        <v>235</v>
      </c>
      <c r="G274" s="4">
        <v>0.33022400000000002</v>
      </c>
      <c r="H274" s="4">
        <v>0.33385300000000001</v>
      </c>
      <c r="I274" s="3">
        <f t="shared" si="4"/>
        <v>3.6289999999999933E-3</v>
      </c>
    </row>
    <row r="275" spans="1:9" ht="28" x14ac:dyDescent="0.35">
      <c r="A275" s="2" t="s">
        <v>160</v>
      </c>
      <c r="B275" s="2" t="s">
        <v>154</v>
      </c>
      <c r="C275" s="2" t="s">
        <v>259</v>
      </c>
      <c r="D275" s="2" t="s">
        <v>262</v>
      </c>
      <c r="E275" s="2" t="s">
        <v>238</v>
      </c>
      <c r="F275" s="2" t="s">
        <v>239</v>
      </c>
      <c r="G275" s="4">
        <v>0.79859000000000002</v>
      </c>
      <c r="H275" s="4">
        <v>0.80075700000000005</v>
      </c>
      <c r="I275" s="3">
        <f t="shared" si="4"/>
        <v>2.16700000000003E-3</v>
      </c>
    </row>
    <row r="276" spans="1:9" x14ac:dyDescent="0.35">
      <c r="A276" s="2" t="s">
        <v>160</v>
      </c>
      <c r="B276" s="2" t="s">
        <v>154</v>
      </c>
      <c r="C276" s="2" t="s">
        <v>259</v>
      </c>
      <c r="D276" s="2" t="s">
        <v>262</v>
      </c>
      <c r="E276" s="2" t="s">
        <v>238</v>
      </c>
      <c r="F276" s="2" t="s">
        <v>240</v>
      </c>
      <c r="G276" s="4">
        <v>0.51651000000000002</v>
      </c>
      <c r="H276" s="4">
        <v>0.53527400000000003</v>
      </c>
      <c r="I276" s="3">
        <f t="shared" si="4"/>
        <v>1.8764000000000003E-2</v>
      </c>
    </row>
    <row r="277" spans="1:9" ht="28" x14ac:dyDescent="0.35">
      <c r="A277" s="2" t="s">
        <v>160</v>
      </c>
      <c r="B277" s="2" t="s">
        <v>154</v>
      </c>
      <c r="C277" s="2" t="s">
        <v>259</v>
      </c>
      <c r="D277" s="2" t="s">
        <v>262</v>
      </c>
      <c r="E277" s="2" t="s">
        <v>241</v>
      </c>
      <c r="F277" s="2" t="s">
        <v>239</v>
      </c>
      <c r="G277" s="4">
        <v>0.83457499999999996</v>
      </c>
      <c r="H277" s="4">
        <v>0.83143</v>
      </c>
      <c r="I277" s="3">
        <f t="shared" si="4"/>
        <v>-3.1449999999999534E-3</v>
      </c>
    </row>
    <row r="278" spans="1:9" x14ac:dyDescent="0.35">
      <c r="A278" s="2" t="s">
        <v>160</v>
      </c>
      <c r="B278" s="2" t="s">
        <v>154</v>
      </c>
      <c r="C278" s="2" t="s">
        <v>259</v>
      </c>
      <c r="D278" s="2" t="s">
        <v>262</v>
      </c>
      <c r="E278" s="2" t="s">
        <v>241</v>
      </c>
      <c r="F278" s="2" t="s">
        <v>240</v>
      </c>
      <c r="G278" s="4">
        <v>0.62294300000000002</v>
      </c>
      <c r="H278" s="4">
        <v>0.62143700000000002</v>
      </c>
      <c r="I278" s="3">
        <f t="shared" si="4"/>
        <v>-1.5060000000000073E-3</v>
      </c>
    </row>
    <row r="279" spans="1:9" ht="28" x14ac:dyDescent="0.35">
      <c r="A279" s="2" t="s">
        <v>160</v>
      </c>
      <c r="B279" s="2" t="s">
        <v>154</v>
      </c>
      <c r="C279" s="2" t="s">
        <v>259</v>
      </c>
      <c r="D279" s="2" t="s">
        <v>262</v>
      </c>
      <c r="E279" s="2" t="s">
        <v>242</v>
      </c>
      <c r="F279" s="2" t="s">
        <v>239</v>
      </c>
      <c r="G279" s="4">
        <v>0.83736999999999995</v>
      </c>
      <c r="H279" s="4">
        <v>0.838252</v>
      </c>
      <c r="I279" s="3">
        <f t="shared" si="4"/>
        <v>8.8200000000004941E-4</v>
      </c>
    </row>
    <row r="280" spans="1:9" x14ac:dyDescent="0.35">
      <c r="A280" s="2" t="s">
        <v>160</v>
      </c>
      <c r="B280" s="2" t="s">
        <v>154</v>
      </c>
      <c r="C280" s="2" t="s">
        <v>259</v>
      </c>
      <c r="D280" s="2" t="s">
        <v>262</v>
      </c>
      <c r="E280" s="2" t="s">
        <v>242</v>
      </c>
      <c r="F280" s="2" t="s">
        <v>240</v>
      </c>
      <c r="G280" s="4">
        <v>0.63007999999999997</v>
      </c>
      <c r="H280" s="4">
        <v>0.63115299999999996</v>
      </c>
      <c r="I280" s="3">
        <f t="shared" si="4"/>
        <v>1.0729999999999906E-3</v>
      </c>
    </row>
    <row r="281" spans="1:9" x14ac:dyDescent="0.35">
      <c r="A281" s="2" t="s">
        <v>162</v>
      </c>
      <c r="B281" s="2" t="s">
        <v>147</v>
      </c>
      <c r="C281" s="2" t="s">
        <v>244</v>
      </c>
      <c r="D281" s="2" t="s">
        <v>263</v>
      </c>
      <c r="E281" s="2" t="s">
        <v>234</v>
      </c>
      <c r="F281" s="2" t="s">
        <v>235</v>
      </c>
      <c r="G281" s="4">
        <v>0.31461099999999997</v>
      </c>
      <c r="H281" s="4">
        <v>2.2672000000000001E-2</v>
      </c>
      <c r="I281" s="3">
        <f t="shared" si="4"/>
        <v>-0.29193899999999995</v>
      </c>
    </row>
    <row r="282" spans="1:9" x14ac:dyDescent="0.35">
      <c r="A282" s="2" t="s">
        <v>162</v>
      </c>
      <c r="B282" s="2" t="s">
        <v>147</v>
      </c>
      <c r="C282" s="2" t="s">
        <v>244</v>
      </c>
      <c r="D282" s="2" t="s">
        <v>263</v>
      </c>
      <c r="E282" s="2" t="s">
        <v>236</v>
      </c>
      <c r="F282" s="2" t="s">
        <v>235</v>
      </c>
      <c r="G282" s="4">
        <v>0.36653999999999998</v>
      </c>
      <c r="H282" s="4">
        <v>6.7559999999999995E-2</v>
      </c>
      <c r="I282" s="3">
        <f t="shared" si="4"/>
        <v>-0.29897999999999997</v>
      </c>
    </row>
    <row r="283" spans="1:9" x14ac:dyDescent="0.35">
      <c r="A283" s="2" t="s">
        <v>162</v>
      </c>
      <c r="B283" s="2" t="s">
        <v>147</v>
      </c>
      <c r="C283" s="2" t="s">
        <v>244</v>
      </c>
      <c r="D283" s="2" t="s">
        <v>263</v>
      </c>
      <c r="E283" s="2" t="s">
        <v>237</v>
      </c>
      <c r="F283" s="2" t="s">
        <v>235</v>
      </c>
      <c r="G283" s="4">
        <v>0.34986600000000001</v>
      </c>
      <c r="H283" s="4">
        <v>6.6168000000000005E-2</v>
      </c>
      <c r="I283" s="3">
        <f t="shared" si="4"/>
        <v>-0.28369800000000001</v>
      </c>
    </row>
    <row r="284" spans="1:9" ht="28" x14ac:dyDescent="0.35">
      <c r="A284" s="2" t="s">
        <v>162</v>
      </c>
      <c r="B284" s="2" t="s">
        <v>147</v>
      </c>
      <c r="C284" s="2" t="s">
        <v>244</v>
      </c>
      <c r="D284" s="2" t="s">
        <v>263</v>
      </c>
      <c r="E284" s="2" t="s">
        <v>238</v>
      </c>
      <c r="F284" s="2" t="s">
        <v>239</v>
      </c>
      <c r="G284" s="4">
        <v>0.79687799999999998</v>
      </c>
      <c r="H284" s="4">
        <v>0.64563899999999996</v>
      </c>
      <c r="I284" s="3">
        <f t="shared" si="4"/>
        <v>-0.15123900000000001</v>
      </c>
    </row>
    <row r="285" spans="1:9" x14ac:dyDescent="0.35">
      <c r="A285" s="2" t="s">
        <v>162</v>
      </c>
      <c r="B285" s="2" t="s">
        <v>147</v>
      </c>
      <c r="C285" s="2" t="s">
        <v>244</v>
      </c>
      <c r="D285" s="2" t="s">
        <v>263</v>
      </c>
      <c r="E285" s="2" t="s">
        <v>238</v>
      </c>
      <c r="F285" s="2" t="s">
        <v>240</v>
      </c>
      <c r="G285" s="4">
        <v>0.56104900000000002</v>
      </c>
      <c r="H285" s="4">
        <v>0.21465699999999999</v>
      </c>
      <c r="I285" s="3">
        <f t="shared" si="4"/>
        <v>-0.34639200000000003</v>
      </c>
    </row>
    <row r="286" spans="1:9" ht="28" x14ac:dyDescent="0.35">
      <c r="A286" s="2" t="s">
        <v>162</v>
      </c>
      <c r="B286" s="2" t="s">
        <v>147</v>
      </c>
      <c r="C286" s="2" t="s">
        <v>244</v>
      </c>
      <c r="D286" s="2" t="s">
        <v>263</v>
      </c>
      <c r="E286" s="2" t="s">
        <v>241</v>
      </c>
      <c r="F286" s="2" t="s">
        <v>239</v>
      </c>
      <c r="G286" s="4">
        <v>0.82152199999999997</v>
      </c>
      <c r="H286" s="4">
        <v>0.67128200000000005</v>
      </c>
      <c r="I286" s="3">
        <f t="shared" si="4"/>
        <v>-0.15023999999999993</v>
      </c>
    </row>
    <row r="287" spans="1:9" x14ac:dyDescent="0.35">
      <c r="A287" s="2" t="s">
        <v>162</v>
      </c>
      <c r="B287" s="2" t="s">
        <v>147</v>
      </c>
      <c r="C287" s="2" t="s">
        <v>244</v>
      </c>
      <c r="D287" s="2" t="s">
        <v>263</v>
      </c>
      <c r="E287" s="2" t="s">
        <v>241</v>
      </c>
      <c r="F287" s="2" t="s">
        <v>240</v>
      </c>
      <c r="G287" s="4">
        <v>0.61744399999999999</v>
      </c>
      <c r="H287" s="4">
        <v>0.26615699999999998</v>
      </c>
      <c r="I287" s="3">
        <f t="shared" si="4"/>
        <v>-0.35128700000000002</v>
      </c>
    </row>
    <row r="288" spans="1:9" ht="28" x14ac:dyDescent="0.35">
      <c r="A288" s="2" t="s">
        <v>162</v>
      </c>
      <c r="B288" s="2" t="s">
        <v>147</v>
      </c>
      <c r="C288" s="2" t="s">
        <v>244</v>
      </c>
      <c r="D288" s="2" t="s">
        <v>263</v>
      </c>
      <c r="E288" s="2" t="s">
        <v>242</v>
      </c>
      <c r="F288" s="2" t="s">
        <v>239</v>
      </c>
      <c r="G288" s="4">
        <v>0.82388600000000001</v>
      </c>
      <c r="H288" s="4">
        <v>0.67550399999999999</v>
      </c>
      <c r="I288" s="3">
        <f t="shared" si="4"/>
        <v>-0.14838200000000001</v>
      </c>
    </row>
    <row r="289" spans="1:9" x14ac:dyDescent="0.35">
      <c r="A289" s="2" t="s">
        <v>162</v>
      </c>
      <c r="B289" s="2" t="s">
        <v>147</v>
      </c>
      <c r="C289" s="2" t="s">
        <v>244</v>
      </c>
      <c r="D289" s="2" t="s">
        <v>263</v>
      </c>
      <c r="E289" s="2" t="s">
        <v>242</v>
      </c>
      <c r="F289" s="2" t="s">
        <v>240</v>
      </c>
      <c r="G289" s="4">
        <v>0.63169399999999998</v>
      </c>
      <c r="H289" s="4">
        <v>0.28080100000000002</v>
      </c>
      <c r="I289" s="3">
        <f t="shared" si="4"/>
        <v>-0.35089299999999995</v>
      </c>
    </row>
    <row r="290" spans="1:9" x14ac:dyDescent="0.35">
      <c r="A290" s="2" t="s">
        <v>165</v>
      </c>
      <c r="B290" s="2" t="s">
        <v>170</v>
      </c>
      <c r="C290" s="2" t="s">
        <v>244</v>
      </c>
      <c r="D290" s="2" t="s">
        <v>264</v>
      </c>
      <c r="E290" s="2" t="s">
        <v>234</v>
      </c>
      <c r="F290" s="2" t="s">
        <v>235</v>
      </c>
      <c r="G290" s="4">
        <v>0.245472</v>
      </c>
      <c r="H290" s="4">
        <v>0.238146</v>
      </c>
      <c r="I290" s="3">
        <f t="shared" si="4"/>
        <v>-7.3259999999999992E-3</v>
      </c>
    </row>
    <row r="291" spans="1:9" x14ac:dyDescent="0.35">
      <c r="A291" s="2" t="s">
        <v>165</v>
      </c>
      <c r="B291" s="2" t="s">
        <v>170</v>
      </c>
      <c r="C291" s="2" t="s">
        <v>244</v>
      </c>
      <c r="D291" s="2" t="s">
        <v>264</v>
      </c>
      <c r="E291" s="2" t="s">
        <v>236</v>
      </c>
      <c r="F291" s="2" t="s">
        <v>235</v>
      </c>
      <c r="G291" s="4">
        <v>0.282416</v>
      </c>
      <c r="H291" s="4">
        <v>0.235651</v>
      </c>
      <c r="I291" s="3">
        <f t="shared" si="4"/>
        <v>-4.6765000000000001E-2</v>
      </c>
    </row>
    <row r="292" spans="1:9" x14ac:dyDescent="0.35">
      <c r="A292" s="2" t="s">
        <v>165</v>
      </c>
      <c r="B292" s="2" t="s">
        <v>170</v>
      </c>
      <c r="C292" s="2" t="s">
        <v>244</v>
      </c>
      <c r="D292" s="2" t="s">
        <v>264</v>
      </c>
      <c r="E292" s="2" t="s">
        <v>237</v>
      </c>
      <c r="F292" s="2" t="s">
        <v>235</v>
      </c>
      <c r="G292" s="4">
        <v>0.28014600000000001</v>
      </c>
      <c r="H292" s="4">
        <v>0.227576</v>
      </c>
      <c r="I292" s="3">
        <f t="shared" si="4"/>
        <v>-5.2570000000000006E-2</v>
      </c>
    </row>
    <row r="293" spans="1:9" ht="28" x14ac:dyDescent="0.35">
      <c r="A293" s="2" t="s">
        <v>165</v>
      </c>
      <c r="B293" s="2" t="s">
        <v>170</v>
      </c>
      <c r="C293" s="2" t="s">
        <v>244</v>
      </c>
      <c r="D293" s="2" t="s">
        <v>264</v>
      </c>
      <c r="E293" s="2" t="s">
        <v>238</v>
      </c>
      <c r="F293" s="2" t="s">
        <v>239</v>
      </c>
      <c r="G293" s="4">
        <v>0.80170600000000003</v>
      </c>
      <c r="H293" s="4">
        <v>0.78392700000000004</v>
      </c>
      <c r="I293" s="3">
        <f t="shared" si="4"/>
        <v>-1.7778999999999989E-2</v>
      </c>
    </row>
    <row r="294" spans="1:9" x14ac:dyDescent="0.35">
      <c r="A294" s="2" t="s">
        <v>165</v>
      </c>
      <c r="B294" s="2" t="s">
        <v>170</v>
      </c>
      <c r="C294" s="2" t="s">
        <v>244</v>
      </c>
      <c r="D294" s="2" t="s">
        <v>264</v>
      </c>
      <c r="E294" s="2" t="s">
        <v>238</v>
      </c>
      <c r="F294" s="2" t="s">
        <v>240</v>
      </c>
      <c r="G294" s="4">
        <v>0.55311699999999997</v>
      </c>
      <c r="H294" s="4">
        <v>0.55474400000000001</v>
      </c>
      <c r="I294" s="3">
        <f t="shared" si="4"/>
        <v>1.6270000000000451E-3</v>
      </c>
    </row>
    <row r="295" spans="1:9" ht="28" x14ac:dyDescent="0.35">
      <c r="A295" s="2" t="s">
        <v>165</v>
      </c>
      <c r="B295" s="2" t="s">
        <v>170</v>
      </c>
      <c r="C295" s="2" t="s">
        <v>244</v>
      </c>
      <c r="D295" s="2" t="s">
        <v>264</v>
      </c>
      <c r="E295" s="2" t="s">
        <v>241</v>
      </c>
      <c r="F295" s="2" t="s">
        <v>239</v>
      </c>
      <c r="G295" s="4">
        <v>0.82854399999999995</v>
      </c>
      <c r="H295" s="4">
        <v>0.78657500000000002</v>
      </c>
      <c r="I295" s="3">
        <f t="shared" si="4"/>
        <v>-4.1968999999999923E-2</v>
      </c>
    </row>
    <row r="296" spans="1:9" x14ac:dyDescent="0.35">
      <c r="A296" s="2" t="s">
        <v>165</v>
      </c>
      <c r="B296" s="2" t="s">
        <v>170</v>
      </c>
      <c r="C296" s="2" t="s">
        <v>244</v>
      </c>
      <c r="D296" s="2" t="s">
        <v>264</v>
      </c>
      <c r="E296" s="2" t="s">
        <v>241</v>
      </c>
      <c r="F296" s="2" t="s">
        <v>240</v>
      </c>
      <c r="G296" s="4">
        <v>0.61828399999999994</v>
      </c>
      <c r="H296" s="4">
        <v>0.54622400000000004</v>
      </c>
      <c r="I296" s="3">
        <f t="shared" si="4"/>
        <v>-7.2059999999999902E-2</v>
      </c>
    </row>
    <row r="297" spans="1:9" ht="28" x14ac:dyDescent="0.35">
      <c r="A297" s="2" t="s">
        <v>165</v>
      </c>
      <c r="B297" s="2" t="s">
        <v>170</v>
      </c>
      <c r="C297" s="2" t="s">
        <v>244</v>
      </c>
      <c r="D297" s="2" t="s">
        <v>264</v>
      </c>
      <c r="E297" s="2" t="s">
        <v>242</v>
      </c>
      <c r="F297" s="2" t="s">
        <v>239</v>
      </c>
      <c r="G297" s="4">
        <v>0.83161499999999999</v>
      </c>
      <c r="H297" s="4">
        <v>0.79615000000000002</v>
      </c>
      <c r="I297" s="3">
        <f t="shared" si="4"/>
        <v>-3.5464999999999969E-2</v>
      </c>
    </row>
    <row r="298" spans="1:9" x14ac:dyDescent="0.35">
      <c r="A298" s="2" t="s">
        <v>165</v>
      </c>
      <c r="B298" s="2" t="s">
        <v>170</v>
      </c>
      <c r="C298" s="2" t="s">
        <v>244</v>
      </c>
      <c r="D298" s="2" t="s">
        <v>264</v>
      </c>
      <c r="E298" s="2" t="s">
        <v>242</v>
      </c>
      <c r="F298" s="2" t="s">
        <v>240</v>
      </c>
      <c r="G298" s="4">
        <v>0.63358099999999995</v>
      </c>
      <c r="H298" s="4">
        <v>0.56864000000000003</v>
      </c>
      <c r="I298" s="3">
        <f t="shared" si="4"/>
        <v>-6.4940999999999915E-2</v>
      </c>
    </row>
    <row r="299" spans="1:9" x14ac:dyDescent="0.35">
      <c r="A299" s="2" t="s">
        <v>171</v>
      </c>
      <c r="B299" s="2" t="s">
        <v>170</v>
      </c>
      <c r="C299" s="2" t="s">
        <v>244</v>
      </c>
      <c r="D299" s="2" t="s">
        <v>265</v>
      </c>
      <c r="E299" s="2" t="s">
        <v>234</v>
      </c>
      <c r="F299" s="2" t="s">
        <v>235</v>
      </c>
      <c r="G299" s="4">
        <v>0.245472</v>
      </c>
      <c r="H299" s="4">
        <v>0.245195</v>
      </c>
      <c r="I299" s="3">
        <f t="shared" si="4"/>
        <v>-2.7699999999999947E-4</v>
      </c>
    </row>
    <row r="300" spans="1:9" x14ac:dyDescent="0.35">
      <c r="A300" s="2" t="s">
        <v>171</v>
      </c>
      <c r="B300" s="2" t="s">
        <v>170</v>
      </c>
      <c r="C300" s="2" t="s">
        <v>244</v>
      </c>
      <c r="D300" s="2" t="s">
        <v>265</v>
      </c>
      <c r="E300" s="2" t="s">
        <v>236</v>
      </c>
      <c r="F300" s="2" t="s">
        <v>235</v>
      </c>
      <c r="G300" s="4">
        <v>0.282416</v>
      </c>
      <c r="H300" s="4">
        <v>0.26297199999999998</v>
      </c>
      <c r="I300" s="3">
        <f t="shared" si="4"/>
        <v>-1.9444000000000017E-2</v>
      </c>
    </row>
    <row r="301" spans="1:9" x14ac:dyDescent="0.35">
      <c r="A301" s="2" t="s">
        <v>171</v>
      </c>
      <c r="B301" s="2" t="s">
        <v>170</v>
      </c>
      <c r="C301" s="2" t="s">
        <v>244</v>
      </c>
      <c r="D301" s="2" t="s">
        <v>265</v>
      </c>
      <c r="E301" s="2" t="s">
        <v>237</v>
      </c>
      <c r="F301" s="2" t="s">
        <v>235</v>
      </c>
      <c r="G301" s="4">
        <v>0.28014600000000001</v>
      </c>
      <c r="H301" s="4">
        <v>0.266515</v>
      </c>
      <c r="I301" s="3">
        <f t="shared" si="4"/>
        <v>-1.3631000000000004E-2</v>
      </c>
    </row>
    <row r="302" spans="1:9" ht="28" x14ac:dyDescent="0.35">
      <c r="A302" s="2" t="s">
        <v>171</v>
      </c>
      <c r="B302" s="2" t="s">
        <v>170</v>
      </c>
      <c r="C302" s="2" t="s">
        <v>244</v>
      </c>
      <c r="D302" s="2" t="s">
        <v>265</v>
      </c>
      <c r="E302" s="2" t="s">
        <v>238</v>
      </c>
      <c r="F302" s="2" t="s">
        <v>239</v>
      </c>
      <c r="G302" s="4">
        <v>0.80170600000000003</v>
      </c>
      <c r="H302" s="4">
        <v>0.80735299999999999</v>
      </c>
      <c r="I302" s="3">
        <f t="shared" si="4"/>
        <v>5.6469999999999576E-3</v>
      </c>
    </row>
    <row r="303" spans="1:9" x14ac:dyDescent="0.35">
      <c r="A303" s="2" t="s">
        <v>171</v>
      </c>
      <c r="B303" s="2" t="s">
        <v>170</v>
      </c>
      <c r="C303" s="2" t="s">
        <v>244</v>
      </c>
      <c r="D303" s="2" t="s">
        <v>265</v>
      </c>
      <c r="E303" s="2" t="s">
        <v>238</v>
      </c>
      <c r="F303" s="2" t="s">
        <v>240</v>
      </c>
      <c r="G303" s="4">
        <v>0.55311699999999997</v>
      </c>
      <c r="H303" s="4">
        <v>0.56817600000000001</v>
      </c>
      <c r="I303" s="3">
        <f t="shared" si="4"/>
        <v>1.5059000000000045E-2</v>
      </c>
    </row>
    <row r="304" spans="1:9" ht="28" x14ac:dyDescent="0.35">
      <c r="A304" s="2" t="s">
        <v>171</v>
      </c>
      <c r="B304" s="2" t="s">
        <v>170</v>
      </c>
      <c r="C304" s="2" t="s">
        <v>244</v>
      </c>
      <c r="D304" s="2" t="s">
        <v>265</v>
      </c>
      <c r="E304" s="2" t="s">
        <v>241</v>
      </c>
      <c r="F304" s="2" t="s">
        <v>239</v>
      </c>
      <c r="G304" s="4">
        <v>0.82854399999999995</v>
      </c>
      <c r="H304" s="4">
        <v>0.79550399999999999</v>
      </c>
      <c r="I304" s="3">
        <f t="shared" si="4"/>
        <v>-3.3039999999999958E-2</v>
      </c>
    </row>
    <row r="305" spans="1:9" x14ac:dyDescent="0.35">
      <c r="A305" s="2" t="s">
        <v>171</v>
      </c>
      <c r="B305" s="2" t="s">
        <v>170</v>
      </c>
      <c r="C305" s="2" t="s">
        <v>244</v>
      </c>
      <c r="D305" s="2" t="s">
        <v>265</v>
      </c>
      <c r="E305" s="2" t="s">
        <v>241</v>
      </c>
      <c r="F305" s="2" t="s">
        <v>240</v>
      </c>
      <c r="G305" s="4">
        <v>0.61828399999999994</v>
      </c>
      <c r="H305" s="4">
        <v>0.576241</v>
      </c>
      <c r="I305" s="3">
        <f t="shared" si="4"/>
        <v>-4.2042999999999942E-2</v>
      </c>
    </row>
    <row r="306" spans="1:9" ht="28" x14ac:dyDescent="0.35">
      <c r="A306" s="2" t="s">
        <v>171</v>
      </c>
      <c r="B306" s="2" t="s">
        <v>170</v>
      </c>
      <c r="C306" s="2" t="s">
        <v>244</v>
      </c>
      <c r="D306" s="2" t="s">
        <v>265</v>
      </c>
      <c r="E306" s="2" t="s">
        <v>242</v>
      </c>
      <c r="F306" s="2" t="s">
        <v>239</v>
      </c>
      <c r="G306" s="4">
        <v>0.83161499999999999</v>
      </c>
      <c r="H306" s="4">
        <v>0.81660299999999997</v>
      </c>
      <c r="I306" s="3">
        <f t="shared" si="4"/>
        <v>-1.5012000000000025E-2</v>
      </c>
    </row>
    <row r="307" spans="1:9" x14ac:dyDescent="0.35">
      <c r="A307" s="2" t="s">
        <v>171</v>
      </c>
      <c r="B307" s="2" t="s">
        <v>170</v>
      </c>
      <c r="C307" s="2" t="s">
        <v>244</v>
      </c>
      <c r="D307" s="2" t="s">
        <v>265</v>
      </c>
      <c r="E307" s="2" t="s">
        <v>242</v>
      </c>
      <c r="F307" s="2" t="s">
        <v>240</v>
      </c>
      <c r="G307" s="4">
        <v>0.63358099999999995</v>
      </c>
      <c r="H307" s="4">
        <v>0.59365400000000002</v>
      </c>
      <c r="I307" s="3">
        <f t="shared" si="4"/>
        <v>-3.9926999999999935E-2</v>
      </c>
    </row>
    <row r="308" spans="1:9" x14ac:dyDescent="0.35">
      <c r="A308" s="2" t="s">
        <v>175</v>
      </c>
      <c r="B308" s="2" t="s">
        <v>181</v>
      </c>
      <c r="C308" s="2" t="s">
        <v>266</v>
      </c>
      <c r="D308" s="2" t="s">
        <v>267</v>
      </c>
      <c r="E308" s="2" t="s">
        <v>234</v>
      </c>
      <c r="F308" s="2" t="s">
        <v>235</v>
      </c>
      <c r="G308" s="4">
        <v>0.31276100000000001</v>
      </c>
      <c r="H308" s="4">
        <v>0.319357</v>
      </c>
      <c r="I308" s="3">
        <f t="shared" si="4"/>
        <v>6.5959999999999908E-3</v>
      </c>
    </row>
    <row r="309" spans="1:9" x14ac:dyDescent="0.35">
      <c r="A309" s="2" t="s">
        <v>175</v>
      </c>
      <c r="B309" s="2" t="s">
        <v>181</v>
      </c>
      <c r="C309" s="2" t="s">
        <v>266</v>
      </c>
      <c r="D309" s="2" t="s">
        <v>267</v>
      </c>
      <c r="E309" s="2" t="s">
        <v>236</v>
      </c>
      <c r="F309" s="2" t="s">
        <v>235</v>
      </c>
      <c r="G309" s="4">
        <v>0.36671500000000001</v>
      </c>
      <c r="H309" s="4">
        <v>0.36513600000000002</v>
      </c>
      <c r="I309" s="3">
        <f t="shared" si="4"/>
        <v>-1.5789999999999971E-3</v>
      </c>
    </row>
    <row r="310" spans="1:9" x14ac:dyDescent="0.35">
      <c r="A310" s="2" t="s">
        <v>175</v>
      </c>
      <c r="B310" s="2" t="s">
        <v>181</v>
      </c>
      <c r="C310" s="2" t="s">
        <v>266</v>
      </c>
      <c r="D310" s="2" t="s">
        <v>267</v>
      </c>
      <c r="E310" s="2" t="s">
        <v>237</v>
      </c>
      <c r="F310" s="2" t="s">
        <v>235</v>
      </c>
      <c r="G310" s="4">
        <v>0.34456500000000001</v>
      </c>
      <c r="H310" s="4">
        <v>0.36249100000000001</v>
      </c>
      <c r="I310" s="3">
        <f t="shared" si="4"/>
        <v>1.7925999999999997E-2</v>
      </c>
    </row>
    <row r="311" spans="1:9" ht="28" x14ac:dyDescent="0.35">
      <c r="A311" s="2" t="s">
        <v>175</v>
      </c>
      <c r="B311" s="2" t="s">
        <v>181</v>
      </c>
      <c r="C311" s="2" t="s">
        <v>266</v>
      </c>
      <c r="D311" s="2" t="s">
        <v>267</v>
      </c>
      <c r="E311" s="2" t="s">
        <v>238</v>
      </c>
      <c r="F311" s="2" t="s">
        <v>239</v>
      </c>
      <c r="G311" s="4">
        <v>0.79774100000000003</v>
      </c>
      <c r="H311" s="4">
        <v>0.80204600000000004</v>
      </c>
      <c r="I311" s="3">
        <f t="shared" si="4"/>
        <v>4.3050000000000033E-3</v>
      </c>
    </row>
    <row r="312" spans="1:9" x14ac:dyDescent="0.35">
      <c r="A312" s="2" t="s">
        <v>175</v>
      </c>
      <c r="B312" s="2" t="s">
        <v>181</v>
      </c>
      <c r="C312" s="2" t="s">
        <v>266</v>
      </c>
      <c r="D312" s="2" t="s">
        <v>267</v>
      </c>
      <c r="E312" s="2" t="s">
        <v>238</v>
      </c>
      <c r="F312" s="2" t="s">
        <v>240</v>
      </c>
      <c r="G312" s="4">
        <v>0.56656399999999996</v>
      </c>
      <c r="H312" s="4">
        <v>0.59527399999999997</v>
      </c>
      <c r="I312" s="3">
        <f t="shared" si="4"/>
        <v>2.8710000000000013E-2</v>
      </c>
    </row>
    <row r="313" spans="1:9" ht="28" x14ac:dyDescent="0.35">
      <c r="A313" s="2" t="s">
        <v>175</v>
      </c>
      <c r="B313" s="2" t="s">
        <v>181</v>
      </c>
      <c r="C313" s="2" t="s">
        <v>266</v>
      </c>
      <c r="D313" s="2" t="s">
        <v>267</v>
      </c>
      <c r="E313" s="2" t="s">
        <v>241</v>
      </c>
      <c r="F313" s="2" t="s">
        <v>239</v>
      </c>
      <c r="G313" s="4">
        <v>0.82274999999999998</v>
      </c>
      <c r="H313" s="4">
        <v>0.82254000000000005</v>
      </c>
      <c r="I313" s="3">
        <f t="shared" si="4"/>
        <v>-2.0999999999993246E-4</v>
      </c>
    </row>
    <row r="314" spans="1:9" x14ac:dyDescent="0.35">
      <c r="A314" s="2" t="s">
        <v>175</v>
      </c>
      <c r="B314" s="2" t="s">
        <v>181</v>
      </c>
      <c r="C314" s="2" t="s">
        <v>266</v>
      </c>
      <c r="D314" s="2" t="s">
        <v>267</v>
      </c>
      <c r="E314" s="2" t="s">
        <v>241</v>
      </c>
      <c r="F314" s="2" t="s">
        <v>240</v>
      </c>
      <c r="G314" s="4">
        <v>0.61728400000000005</v>
      </c>
      <c r="H314" s="4">
        <v>0.62156900000000004</v>
      </c>
      <c r="I314" s="3">
        <f t="shared" si="4"/>
        <v>4.2849999999999833E-3</v>
      </c>
    </row>
    <row r="315" spans="1:9" ht="28" x14ac:dyDescent="0.35">
      <c r="A315" s="2" t="s">
        <v>175</v>
      </c>
      <c r="B315" s="2" t="s">
        <v>181</v>
      </c>
      <c r="C315" s="2" t="s">
        <v>266</v>
      </c>
      <c r="D315" s="2" t="s">
        <v>267</v>
      </c>
      <c r="E315" s="2" t="s">
        <v>242</v>
      </c>
      <c r="F315" s="2" t="s">
        <v>239</v>
      </c>
      <c r="G315" s="4">
        <v>0.82588499999999998</v>
      </c>
      <c r="H315" s="4">
        <v>0.82549499999999998</v>
      </c>
      <c r="I315" s="3">
        <f t="shared" si="4"/>
        <v>-3.9000000000000146E-4</v>
      </c>
    </row>
    <row r="316" spans="1:9" x14ac:dyDescent="0.35">
      <c r="A316" s="2" t="s">
        <v>175</v>
      </c>
      <c r="B316" s="2" t="s">
        <v>181</v>
      </c>
      <c r="C316" s="2" t="s">
        <v>266</v>
      </c>
      <c r="D316" s="2" t="s">
        <v>267</v>
      </c>
      <c r="E316" s="2" t="s">
        <v>242</v>
      </c>
      <c r="F316" s="2" t="s">
        <v>240</v>
      </c>
      <c r="G316" s="4">
        <v>0.63196699999999995</v>
      </c>
      <c r="H316" s="4">
        <v>0.63211099999999998</v>
      </c>
      <c r="I316" s="3">
        <f t="shared" si="4"/>
        <v>1.4400000000003299E-4</v>
      </c>
    </row>
    <row r="317" spans="1:9" x14ac:dyDescent="0.35">
      <c r="A317" s="2" t="s">
        <v>182</v>
      </c>
      <c r="B317" s="2" t="s">
        <v>188</v>
      </c>
      <c r="C317" s="2" t="s">
        <v>266</v>
      </c>
      <c r="D317" s="2" t="s">
        <v>268</v>
      </c>
      <c r="E317" s="2" t="s">
        <v>234</v>
      </c>
      <c r="F317" s="2" t="s">
        <v>235</v>
      </c>
      <c r="G317" s="4">
        <v>0.31276100000000001</v>
      </c>
      <c r="H317" s="4">
        <v>0.31733499999999998</v>
      </c>
      <c r="I317" s="3">
        <f t="shared" si="4"/>
        <v>4.573999999999967E-3</v>
      </c>
    </row>
    <row r="318" spans="1:9" x14ac:dyDescent="0.35">
      <c r="A318" s="2" t="s">
        <v>182</v>
      </c>
      <c r="B318" s="2" t="s">
        <v>188</v>
      </c>
      <c r="C318" s="2" t="s">
        <v>266</v>
      </c>
      <c r="D318" s="2" t="s">
        <v>268</v>
      </c>
      <c r="E318" s="2" t="s">
        <v>236</v>
      </c>
      <c r="F318" s="2" t="s">
        <v>235</v>
      </c>
      <c r="G318" s="4">
        <v>0.36671500000000001</v>
      </c>
      <c r="H318" s="4">
        <v>0.36951899999999999</v>
      </c>
      <c r="I318" s="3">
        <f t="shared" si="4"/>
        <v>2.8039999999999732E-3</v>
      </c>
    </row>
    <row r="319" spans="1:9" x14ac:dyDescent="0.35">
      <c r="A319" s="2" t="s">
        <v>182</v>
      </c>
      <c r="B319" s="2" t="s">
        <v>188</v>
      </c>
      <c r="C319" s="2" t="s">
        <v>266</v>
      </c>
      <c r="D319" s="2" t="s">
        <v>268</v>
      </c>
      <c r="E319" s="2" t="s">
        <v>237</v>
      </c>
      <c r="F319" s="2" t="s">
        <v>235</v>
      </c>
      <c r="G319" s="4">
        <v>0.34456500000000001</v>
      </c>
      <c r="H319" s="4">
        <v>0.34456500000000001</v>
      </c>
      <c r="I319" s="3">
        <f t="shared" si="4"/>
        <v>0</v>
      </c>
    </row>
    <row r="320" spans="1:9" ht="28" x14ac:dyDescent="0.35">
      <c r="A320" s="2" t="s">
        <v>182</v>
      </c>
      <c r="B320" s="2" t="s">
        <v>188</v>
      </c>
      <c r="C320" s="2" t="s">
        <v>266</v>
      </c>
      <c r="D320" s="2" t="s">
        <v>268</v>
      </c>
      <c r="E320" s="2" t="s">
        <v>238</v>
      </c>
      <c r="F320" s="2" t="s">
        <v>239</v>
      </c>
      <c r="G320" s="4">
        <v>0.79774400000000001</v>
      </c>
      <c r="H320" s="4">
        <v>0.797736</v>
      </c>
      <c r="I320" s="3">
        <f t="shared" si="4"/>
        <v>-8.0000000000080007E-6</v>
      </c>
    </row>
    <row r="321" spans="1:9" x14ac:dyDescent="0.35">
      <c r="A321" s="2" t="s">
        <v>182</v>
      </c>
      <c r="B321" s="2" t="s">
        <v>188</v>
      </c>
      <c r="C321" s="2" t="s">
        <v>266</v>
      </c>
      <c r="D321" s="2" t="s">
        <v>268</v>
      </c>
      <c r="E321" s="2" t="s">
        <v>238</v>
      </c>
      <c r="F321" s="2" t="s">
        <v>240</v>
      </c>
      <c r="G321" s="4">
        <v>0.56657199999999996</v>
      </c>
      <c r="H321" s="4">
        <v>0.56691999999999998</v>
      </c>
      <c r="I321" s="3">
        <f t="shared" si="4"/>
        <v>3.4800000000001496E-4</v>
      </c>
    </row>
    <row r="322" spans="1:9" ht="28" x14ac:dyDescent="0.35">
      <c r="A322" s="2" t="s">
        <v>182</v>
      </c>
      <c r="B322" s="2" t="s">
        <v>188</v>
      </c>
      <c r="C322" s="2" t="s">
        <v>266</v>
      </c>
      <c r="D322" s="2" t="s">
        <v>268</v>
      </c>
      <c r="E322" s="2" t="s">
        <v>241</v>
      </c>
      <c r="F322" s="2" t="s">
        <v>239</v>
      </c>
      <c r="G322" s="4">
        <v>0.82274999999999998</v>
      </c>
      <c r="H322" s="4">
        <v>0.82274700000000001</v>
      </c>
      <c r="I322" s="3">
        <f t="shared" ref="I322:I385" si="5">H322-G322</f>
        <v>-2.9999999999752447E-6</v>
      </c>
    </row>
    <row r="323" spans="1:9" x14ac:dyDescent="0.35">
      <c r="A323" s="2" t="s">
        <v>182</v>
      </c>
      <c r="B323" s="2" t="s">
        <v>188</v>
      </c>
      <c r="C323" s="2" t="s">
        <v>266</v>
      </c>
      <c r="D323" s="2" t="s">
        <v>268</v>
      </c>
      <c r="E323" s="2" t="s">
        <v>241</v>
      </c>
      <c r="F323" s="2" t="s">
        <v>240</v>
      </c>
      <c r="G323" s="4">
        <v>0.61728400000000005</v>
      </c>
      <c r="H323" s="4">
        <v>0.617282</v>
      </c>
      <c r="I323" s="3">
        <f t="shared" si="5"/>
        <v>-2.0000000000575113E-6</v>
      </c>
    </row>
    <row r="324" spans="1:9" ht="28" x14ac:dyDescent="0.35">
      <c r="A324" s="2" t="s">
        <v>182</v>
      </c>
      <c r="B324" s="2" t="s">
        <v>188</v>
      </c>
      <c r="C324" s="2" t="s">
        <v>266</v>
      </c>
      <c r="D324" s="2" t="s">
        <v>268</v>
      </c>
      <c r="E324" s="2" t="s">
        <v>242</v>
      </c>
      <c r="F324" s="2" t="s">
        <v>239</v>
      </c>
      <c r="G324" s="4">
        <v>0.82588499999999998</v>
      </c>
      <c r="H324" s="4">
        <v>0.82588300000000003</v>
      </c>
      <c r="I324" s="3">
        <f t="shared" si="5"/>
        <v>-1.999999999946489E-6</v>
      </c>
    </row>
    <row r="325" spans="1:9" x14ac:dyDescent="0.35">
      <c r="A325" s="2" t="s">
        <v>182</v>
      </c>
      <c r="B325" s="2" t="s">
        <v>188</v>
      </c>
      <c r="C325" s="2" t="s">
        <v>266</v>
      </c>
      <c r="D325" s="2" t="s">
        <v>268</v>
      </c>
      <c r="E325" s="2" t="s">
        <v>242</v>
      </c>
      <c r="F325" s="2" t="s">
        <v>240</v>
      </c>
      <c r="G325" s="4">
        <v>0.63196699999999995</v>
      </c>
      <c r="H325" s="4">
        <v>0.63196300000000005</v>
      </c>
      <c r="I325" s="3">
        <f t="shared" si="5"/>
        <v>-3.9999999998929781E-6</v>
      </c>
    </row>
    <row r="326" spans="1:9" x14ac:dyDescent="0.35">
      <c r="A326" s="2" t="s">
        <v>189</v>
      </c>
      <c r="B326" s="2" t="s">
        <v>194</v>
      </c>
      <c r="C326" s="2" t="s">
        <v>269</v>
      </c>
      <c r="D326" s="2" t="s">
        <v>270</v>
      </c>
      <c r="E326" s="2" t="s">
        <v>234</v>
      </c>
      <c r="F326" s="2" t="s">
        <v>235</v>
      </c>
      <c r="G326" s="4">
        <v>0.44441799999999998</v>
      </c>
      <c r="H326" s="4">
        <v>0.37977699999999998</v>
      </c>
      <c r="I326" s="3">
        <f t="shared" si="5"/>
        <v>-6.4641000000000004E-2</v>
      </c>
    </row>
    <row r="327" spans="1:9" x14ac:dyDescent="0.35">
      <c r="A327" s="2" t="s">
        <v>189</v>
      </c>
      <c r="B327" s="2" t="s">
        <v>194</v>
      </c>
      <c r="C327" s="2" t="s">
        <v>269</v>
      </c>
      <c r="D327" s="2" t="s">
        <v>270</v>
      </c>
      <c r="E327" s="2" t="s">
        <v>236</v>
      </c>
      <c r="F327" s="2" t="s">
        <v>235</v>
      </c>
      <c r="G327" s="4">
        <v>0.40514899999999998</v>
      </c>
      <c r="H327" s="4">
        <v>0.39604899999999998</v>
      </c>
      <c r="I327" s="3">
        <f t="shared" si="5"/>
        <v>-9.099999999999997E-3</v>
      </c>
    </row>
    <row r="328" spans="1:9" x14ac:dyDescent="0.35">
      <c r="A328" s="2" t="s">
        <v>189</v>
      </c>
      <c r="B328" s="2" t="s">
        <v>194</v>
      </c>
      <c r="C328" s="2" t="s">
        <v>269</v>
      </c>
      <c r="D328" s="2" t="s">
        <v>270</v>
      </c>
      <c r="E328" s="2" t="s">
        <v>237</v>
      </c>
      <c r="F328" s="2" t="s">
        <v>235</v>
      </c>
      <c r="G328" s="4">
        <v>0.42920700000000001</v>
      </c>
      <c r="H328" s="4">
        <v>0.40903800000000001</v>
      </c>
      <c r="I328" s="3">
        <f t="shared" si="5"/>
        <v>-2.0168999999999992E-2</v>
      </c>
    </row>
    <row r="329" spans="1:9" x14ac:dyDescent="0.35">
      <c r="A329" s="2" t="s">
        <v>195</v>
      </c>
      <c r="B329" s="2" t="s">
        <v>194</v>
      </c>
      <c r="C329" s="2" t="s">
        <v>269</v>
      </c>
      <c r="D329" s="2" t="s">
        <v>271</v>
      </c>
      <c r="E329" s="2" t="s">
        <v>234</v>
      </c>
      <c r="F329" s="2" t="s">
        <v>235</v>
      </c>
      <c r="G329" s="4">
        <v>0.44441799999999998</v>
      </c>
      <c r="H329" s="4">
        <v>0.46855400000000003</v>
      </c>
      <c r="I329" s="3">
        <f t="shared" si="5"/>
        <v>2.4136000000000046E-2</v>
      </c>
    </row>
    <row r="330" spans="1:9" x14ac:dyDescent="0.35">
      <c r="A330" s="2" t="s">
        <v>195</v>
      </c>
      <c r="B330" s="2" t="s">
        <v>194</v>
      </c>
      <c r="C330" s="2" t="s">
        <v>269</v>
      </c>
      <c r="D330" s="2" t="s">
        <v>271</v>
      </c>
      <c r="E330" s="2" t="s">
        <v>236</v>
      </c>
      <c r="F330" s="2" t="s">
        <v>235</v>
      </c>
      <c r="G330" s="4">
        <v>0.40514899999999998</v>
      </c>
      <c r="H330" s="4">
        <v>0.405422</v>
      </c>
      <c r="I330" s="3">
        <f t="shared" si="5"/>
        <v>2.7300000000002322E-4</v>
      </c>
    </row>
    <row r="331" spans="1:9" x14ac:dyDescent="0.35">
      <c r="A331" s="2" t="s">
        <v>195</v>
      </c>
      <c r="B331" s="2" t="s">
        <v>194</v>
      </c>
      <c r="C331" s="2" t="s">
        <v>269</v>
      </c>
      <c r="D331" s="2" t="s">
        <v>271</v>
      </c>
      <c r="E331" s="2" t="s">
        <v>237</v>
      </c>
      <c r="F331" s="2" t="s">
        <v>235</v>
      </c>
      <c r="G331" s="4">
        <v>0.42920700000000001</v>
      </c>
      <c r="H331" s="4">
        <v>0.42799900000000002</v>
      </c>
      <c r="I331" s="3">
        <f t="shared" si="5"/>
        <v>-1.2079999999999869E-3</v>
      </c>
    </row>
    <row r="332" spans="1:9" x14ac:dyDescent="0.35">
      <c r="A332" s="2" t="s">
        <v>199</v>
      </c>
      <c r="B332" s="2" t="s">
        <v>202</v>
      </c>
      <c r="C332" s="2" t="s">
        <v>271</v>
      </c>
      <c r="D332" s="2" t="s">
        <v>272</v>
      </c>
      <c r="E332" s="2" t="s">
        <v>234</v>
      </c>
      <c r="F332" s="2" t="s">
        <v>235</v>
      </c>
      <c r="G332" s="4">
        <v>0.46855400000000003</v>
      </c>
      <c r="H332" s="4">
        <v>0.46905000000000002</v>
      </c>
      <c r="I332" s="3">
        <f t="shared" si="5"/>
        <v>4.9599999999999644E-4</v>
      </c>
    </row>
    <row r="333" spans="1:9" x14ac:dyDescent="0.35">
      <c r="A333" s="2" t="s">
        <v>199</v>
      </c>
      <c r="B333" s="2" t="s">
        <v>202</v>
      </c>
      <c r="C333" s="2" t="s">
        <v>271</v>
      </c>
      <c r="D333" s="2" t="s">
        <v>272</v>
      </c>
      <c r="E333" s="2" t="s">
        <v>236</v>
      </c>
      <c r="F333" s="2" t="s">
        <v>235</v>
      </c>
      <c r="G333" s="4">
        <v>0.405422</v>
      </c>
      <c r="H333" s="4">
        <v>0.40539399999999998</v>
      </c>
      <c r="I333" s="3">
        <f t="shared" si="5"/>
        <v>-2.8000000000028002E-5</v>
      </c>
    </row>
    <row r="334" spans="1:9" x14ac:dyDescent="0.35">
      <c r="A334" s="2" t="s">
        <v>199</v>
      </c>
      <c r="B334" s="2" t="s">
        <v>202</v>
      </c>
      <c r="C334" s="2" t="s">
        <v>271</v>
      </c>
      <c r="D334" s="2" t="s">
        <v>272</v>
      </c>
      <c r="E334" s="2" t="s">
        <v>237</v>
      </c>
      <c r="F334" s="2" t="s">
        <v>235</v>
      </c>
      <c r="G334" s="4">
        <v>0.42799900000000002</v>
      </c>
      <c r="H334" s="4">
        <v>0.42893199999999998</v>
      </c>
      <c r="I334" s="3">
        <f t="shared" si="5"/>
        <v>9.3299999999996164E-4</v>
      </c>
    </row>
    <row r="335" spans="1:9" x14ac:dyDescent="0.35">
      <c r="A335" s="2" t="s">
        <v>203</v>
      </c>
      <c r="B335" s="2" t="s">
        <v>202</v>
      </c>
      <c r="C335" s="2" t="s">
        <v>271</v>
      </c>
      <c r="D335" s="2" t="s">
        <v>273</v>
      </c>
      <c r="E335" s="2" t="s">
        <v>234</v>
      </c>
      <c r="F335" s="2" t="s">
        <v>235</v>
      </c>
      <c r="G335" s="4">
        <v>0.46855400000000003</v>
      </c>
      <c r="H335" s="4">
        <v>0.474468</v>
      </c>
      <c r="I335" s="3">
        <f t="shared" si="5"/>
        <v>5.9139999999999748E-3</v>
      </c>
    </row>
    <row r="336" spans="1:9" x14ac:dyDescent="0.35">
      <c r="A336" s="2" t="s">
        <v>203</v>
      </c>
      <c r="B336" s="2" t="s">
        <v>202</v>
      </c>
      <c r="C336" s="2" t="s">
        <v>271</v>
      </c>
      <c r="D336" s="2" t="s">
        <v>273</v>
      </c>
      <c r="E336" s="2" t="s">
        <v>236</v>
      </c>
      <c r="F336" s="2" t="s">
        <v>235</v>
      </c>
      <c r="G336" s="4">
        <v>0.405422</v>
      </c>
      <c r="H336" s="4">
        <v>0.41612700000000002</v>
      </c>
      <c r="I336" s="3">
        <f t="shared" si="5"/>
        <v>1.070500000000002E-2</v>
      </c>
    </row>
    <row r="337" spans="1:9" x14ac:dyDescent="0.35">
      <c r="A337" s="2" t="s">
        <v>203</v>
      </c>
      <c r="B337" s="2" t="s">
        <v>202</v>
      </c>
      <c r="C337" s="2" t="s">
        <v>271</v>
      </c>
      <c r="D337" s="2" t="s">
        <v>273</v>
      </c>
      <c r="E337" s="2" t="s">
        <v>237</v>
      </c>
      <c r="F337" s="2" t="s">
        <v>235</v>
      </c>
      <c r="G337" s="4">
        <v>0.42799900000000002</v>
      </c>
      <c r="H337" s="4">
        <v>0.444492</v>
      </c>
      <c r="I337" s="3">
        <f t="shared" si="5"/>
        <v>1.649299999999998E-2</v>
      </c>
    </row>
    <row r="338" spans="1:9" x14ac:dyDescent="0.35">
      <c r="A338" s="2" t="s">
        <v>207</v>
      </c>
      <c r="B338" s="2" t="s">
        <v>211</v>
      </c>
      <c r="C338" s="2" t="s">
        <v>273</v>
      </c>
      <c r="D338" s="2" t="s">
        <v>274</v>
      </c>
      <c r="E338" s="2" t="s">
        <v>234</v>
      </c>
      <c r="F338" s="2" t="s">
        <v>235</v>
      </c>
      <c r="G338" s="4">
        <v>0.474468</v>
      </c>
      <c r="H338" s="4">
        <v>0.46881499999999998</v>
      </c>
      <c r="I338" s="3">
        <f t="shared" si="5"/>
        <v>-5.6530000000000191E-3</v>
      </c>
    </row>
    <row r="339" spans="1:9" x14ac:dyDescent="0.35">
      <c r="A339" s="2" t="s">
        <v>207</v>
      </c>
      <c r="B339" s="2" t="s">
        <v>211</v>
      </c>
      <c r="C339" s="2" t="s">
        <v>273</v>
      </c>
      <c r="D339" s="2" t="s">
        <v>274</v>
      </c>
      <c r="E339" s="2" t="s">
        <v>236</v>
      </c>
      <c r="F339" s="2" t="s">
        <v>235</v>
      </c>
      <c r="G339" s="4">
        <v>0.41612700000000002</v>
      </c>
      <c r="H339" s="4">
        <v>0.41482400000000003</v>
      </c>
      <c r="I339" s="3">
        <f t="shared" si="5"/>
        <v>-1.3029999999999986E-3</v>
      </c>
    </row>
    <row r="340" spans="1:9" x14ac:dyDescent="0.35">
      <c r="A340" s="2" t="s">
        <v>207</v>
      </c>
      <c r="B340" s="2" t="s">
        <v>211</v>
      </c>
      <c r="C340" s="2" t="s">
        <v>273</v>
      </c>
      <c r="D340" s="2" t="s">
        <v>274</v>
      </c>
      <c r="E340" s="2" t="s">
        <v>237</v>
      </c>
      <c r="F340" s="2" t="s">
        <v>235</v>
      </c>
      <c r="G340" s="4">
        <v>0.444492</v>
      </c>
      <c r="H340" s="4">
        <v>0.444492</v>
      </c>
      <c r="I340" s="3">
        <f t="shared" si="5"/>
        <v>0</v>
      </c>
    </row>
    <row r="341" spans="1:9" x14ac:dyDescent="0.35">
      <c r="A341" s="2" t="s">
        <v>212</v>
      </c>
      <c r="B341" s="2" t="s">
        <v>211</v>
      </c>
      <c r="C341" s="2" t="s">
        <v>273</v>
      </c>
      <c r="D341" s="2" t="s">
        <v>275</v>
      </c>
      <c r="E341" s="2" t="s">
        <v>234</v>
      </c>
      <c r="F341" s="2" t="s">
        <v>235</v>
      </c>
      <c r="G341" s="4">
        <v>0.474468</v>
      </c>
      <c r="H341" s="4">
        <v>0.46905000000000002</v>
      </c>
      <c r="I341" s="3">
        <f t="shared" si="5"/>
        <v>-5.4179999999999784E-3</v>
      </c>
    </row>
    <row r="342" spans="1:9" x14ac:dyDescent="0.35">
      <c r="A342" s="2" t="s">
        <v>212</v>
      </c>
      <c r="B342" s="2" t="s">
        <v>211</v>
      </c>
      <c r="C342" s="2" t="s">
        <v>273</v>
      </c>
      <c r="D342" s="2" t="s">
        <v>275</v>
      </c>
      <c r="E342" s="2" t="s">
        <v>236</v>
      </c>
      <c r="F342" s="2" t="s">
        <v>235</v>
      </c>
      <c r="G342" s="4">
        <v>0.41612700000000002</v>
      </c>
      <c r="H342" s="4">
        <v>0.40539399999999998</v>
      </c>
      <c r="I342" s="3">
        <f t="shared" si="5"/>
        <v>-1.0733000000000048E-2</v>
      </c>
    </row>
    <row r="343" spans="1:9" x14ac:dyDescent="0.35">
      <c r="A343" s="2" t="s">
        <v>212</v>
      </c>
      <c r="B343" s="2" t="s">
        <v>211</v>
      </c>
      <c r="C343" s="2" t="s">
        <v>273</v>
      </c>
      <c r="D343" s="2" t="s">
        <v>275</v>
      </c>
      <c r="E343" s="2" t="s">
        <v>237</v>
      </c>
      <c r="F343" s="2" t="s">
        <v>235</v>
      </c>
      <c r="G343" s="4">
        <v>0.444492</v>
      </c>
      <c r="H343" s="4">
        <v>0.42893199999999998</v>
      </c>
      <c r="I343" s="3">
        <f t="shared" si="5"/>
        <v>-1.5560000000000018E-2</v>
      </c>
    </row>
    <row r="344" spans="1:9" x14ac:dyDescent="0.35">
      <c r="A344" s="2" t="s">
        <v>216</v>
      </c>
      <c r="B344" s="2" t="s">
        <v>221</v>
      </c>
      <c r="C344" s="2" t="s">
        <v>273</v>
      </c>
      <c r="D344" s="2" t="s">
        <v>276</v>
      </c>
      <c r="E344" s="2" t="s">
        <v>234</v>
      </c>
      <c r="F344" s="2" t="s">
        <v>235</v>
      </c>
      <c r="G344" s="4">
        <v>0.474468</v>
      </c>
      <c r="H344" s="4">
        <v>0.47445599999999999</v>
      </c>
      <c r="I344" s="3">
        <f t="shared" si="5"/>
        <v>-1.2000000000012001E-5</v>
      </c>
    </row>
    <row r="345" spans="1:9" x14ac:dyDescent="0.35">
      <c r="A345" s="2" t="s">
        <v>216</v>
      </c>
      <c r="B345" s="2" t="s">
        <v>221</v>
      </c>
      <c r="C345" s="2" t="s">
        <v>273</v>
      </c>
      <c r="D345" s="2" t="s">
        <v>276</v>
      </c>
      <c r="E345" s="2" t="s">
        <v>236</v>
      </c>
      <c r="F345" s="2" t="s">
        <v>235</v>
      </c>
      <c r="G345" s="4">
        <v>0.41612700000000002</v>
      </c>
      <c r="H345" s="4">
        <v>0.41566900000000001</v>
      </c>
      <c r="I345" s="3">
        <f t="shared" si="5"/>
        <v>-4.5800000000001395E-4</v>
      </c>
    </row>
    <row r="346" spans="1:9" x14ac:dyDescent="0.35">
      <c r="A346" s="2" t="s">
        <v>216</v>
      </c>
      <c r="B346" s="2" t="s">
        <v>221</v>
      </c>
      <c r="C346" s="2" t="s">
        <v>273</v>
      </c>
      <c r="D346" s="2" t="s">
        <v>276</v>
      </c>
      <c r="E346" s="2" t="s">
        <v>237</v>
      </c>
      <c r="F346" s="2" t="s">
        <v>235</v>
      </c>
      <c r="G346" s="4">
        <v>0.444492</v>
      </c>
      <c r="H346" s="4">
        <v>0.44368299999999999</v>
      </c>
      <c r="I346" s="3">
        <f t="shared" si="5"/>
        <v>-8.0900000000000416E-4</v>
      </c>
    </row>
    <row r="347" spans="1:9" x14ac:dyDescent="0.35">
      <c r="A347" s="2" t="s">
        <v>222</v>
      </c>
      <c r="B347" s="2" t="s">
        <v>221</v>
      </c>
      <c r="C347" s="2" t="s">
        <v>273</v>
      </c>
      <c r="D347" s="2" t="s">
        <v>277</v>
      </c>
      <c r="E347" s="2" t="s">
        <v>234</v>
      </c>
      <c r="F347" s="2" t="s">
        <v>235</v>
      </c>
      <c r="G347" s="4">
        <v>0.474468</v>
      </c>
      <c r="H347" s="4">
        <v>0.47425499999999998</v>
      </c>
      <c r="I347" s="3">
        <f t="shared" si="5"/>
        <v>-2.1300000000001873E-4</v>
      </c>
    </row>
    <row r="348" spans="1:9" x14ac:dyDescent="0.35">
      <c r="A348" s="2" t="s">
        <v>222</v>
      </c>
      <c r="B348" s="2" t="s">
        <v>221</v>
      </c>
      <c r="C348" s="2" t="s">
        <v>273</v>
      </c>
      <c r="D348" s="2" t="s">
        <v>277</v>
      </c>
      <c r="E348" s="2" t="s">
        <v>236</v>
      </c>
      <c r="F348" s="2" t="s">
        <v>235</v>
      </c>
      <c r="G348" s="4">
        <v>0.41612700000000002</v>
      </c>
      <c r="H348" s="4">
        <v>0.41640199999999999</v>
      </c>
      <c r="I348" s="3">
        <f t="shared" si="5"/>
        <v>2.7499999999996971E-4</v>
      </c>
    </row>
    <row r="349" spans="1:9" x14ac:dyDescent="0.35">
      <c r="A349" s="2" t="s">
        <v>222</v>
      </c>
      <c r="B349" s="2" t="s">
        <v>221</v>
      </c>
      <c r="C349" s="2" t="s">
        <v>273</v>
      </c>
      <c r="D349" s="2" t="s">
        <v>277</v>
      </c>
      <c r="E349" s="2" t="s">
        <v>237</v>
      </c>
      <c r="F349" s="2" t="s">
        <v>235</v>
      </c>
      <c r="G349" s="4">
        <v>0.444492</v>
      </c>
      <c r="H349" s="4">
        <v>0.44697399999999998</v>
      </c>
      <c r="I349" s="3">
        <f t="shared" si="5"/>
        <v>2.4819999999999842E-3</v>
      </c>
    </row>
  </sheetData>
  <autoFilter ref="A1:I3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8" customWidth="1"/>
    <col min="2" max="2" width="10" customWidth="1"/>
    <col min="3" max="3" width="12" customWidth="1"/>
    <col min="4" max="4" width="70" customWidth="1"/>
  </cols>
  <sheetData>
    <row r="1" spans="1:4" x14ac:dyDescent="0.35">
      <c r="A1" s="1" t="s">
        <v>278</v>
      </c>
      <c r="B1" s="1" t="s">
        <v>1</v>
      </c>
      <c r="C1" s="1" t="s">
        <v>4</v>
      </c>
      <c r="D1" s="1" t="s">
        <v>279</v>
      </c>
    </row>
    <row r="2" spans="1:4" ht="28" x14ac:dyDescent="0.35">
      <c r="A2" s="2" t="s">
        <v>280</v>
      </c>
      <c r="B2" s="2" t="s">
        <v>14</v>
      </c>
      <c r="C2" s="2" t="s">
        <v>281</v>
      </c>
      <c r="D2" s="2" t="s">
        <v>282</v>
      </c>
    </row>
    <row r="3" spans="1:4" x14ac:dyDescent="0.35">
      <c r="A3" s="2" t="s">
        <v>283</v>
      </c>
      <c r="B3" s="2" t="s">
        <v>284</v>
      </c>
      <c r="C3" s="2" t="s">
        <v>281</v>
      </c>
      <c r="D3" s="2" t="s">
        <v>285</v>
      </c>
    </row>
    <row r="4" spans="1:4" ht="28" x14ac:dyDescent="0.35">
      <c r="A4" s="2" t="s">
        <v>286</v>
      </c>
      <c r="B4" s="2" t="s">
        <v>284</v>
      </c>
      <c r="C4" s="2" t="s">
        <v>281</v>
      </c>
      <c r="D4" s="2" t="s">
        <v>287</v>
      </c>
    </row>
    <row r="5" spans="1:4" x14ac:dyDescent="0.35">
      <c r="A5" s="2" t="s">
        <v>288</v>
      </c>
      <c r="B5" s="2" t="s">
        <v>14</v>
      </c>
      <c r="C5" s="2" t="s">
        <v>17</v>
      </c>
      <c r="D5" s="2" t="s">
        <v>289</v>
      </c>
    </row>
    <row r="6" spans="1:4" x14ac:dyDescent="0.35">
      <c r="A6" s="2" t="s">
        <v>290</v>
      </c>
      <c r="B6" s="2" t="s">
        <v>284</v>
      </c>
      <c r="C6" s="2" t="s">
        <v>17</v>
      </c>
      <c r="D6" s="2" t="s">
        <v>291</v>
      </c>
    </row>
    <row r="7" spans="1:4" x14ac:dyDescent="0.35">
      <c r="A7" s="2" t="s">
        <v>292</v>
      </c>
      <c r="B7" s="2" t="s">
        <v>14</v>
      </c>
      <c r="C7" s="2" t="s">
        <v>17</v>
      </c>
      <c r="D7" s="2" t="s">
        <v>293</v>
      </c>
    </row>
    <row r="8" spans="1:4" x14ac:dyDescent="0.35">
      <c r="A8" s="2" t="s">
        <v>294</v>
      </c>
      <c r="B8" s="2" t="s">
        <v>14</v>
      </c>
      <c r="C8" s="2" t="s">
        <v>17</v>
      </c>
      <c r="D8" s="2" t="s">
        <v>295</v>
      </c>
    </row>
    <row r="9" spans="1:4" ht="28" x14ac:dyDescent="0.35">
      <c r="A9" s="2" t="s">
        <v>296</v>
      </c>
      <c r="B9" s="2" t="s">
        <v>284</v>
      </c>
      <c r="C9" s="2" t="s">
        <v>24</v>
      </c>
      <c r="D9" s="2" t="s">
        <v>297</v>
      </c>
    </row>
  </sheetData>
  <autoFilter ref="A1:D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4.5" x14ac:dyDescent="0.35"/>
  <cols>
    <col min="1" max="1" width="130" customWidth="1"/>
  </cols>
  <sheetData>
    <row r="1" spans="1:1" ht="15.5" x14ac:dyDescent="0.35">
      <c r="A1" s="5" t="s">
        <v>298</v>
      </c>
    </row>
    <row r="2" spans="1:1" x14ac:dyDescent="0.35">
      <c r="A2" s="6" t="s">
        <v>299</v>
      </c>
    </row>
    <row r="3" spans="1:1" x14ac:dyDescent="0.35">
      <c r="A3" s="6" t="s">
        <v>300</v>
      </c>
    </row>
    <row r="4" spans="1:1" ht="28" x14ac:dyDescent="0.35">
      <c r="A4" s="6" t="s">
        <v>301</v>
      </c>
    </row>
    <row r="5" spans="1:1" ht="28" x14ac:dyDescent="0.35">
      <c r="A5" s="6" t="s">
        <v>302</v>
      </c>
    </row>
    <row r="6" spans="1:1" ht="28" x14ac:dyDescent="0.35">
      <c r="A6" s="6" t="s">
        <v>303</v>
      </c>
    </row>
    <row r="7" spans="1:1" x14ac:dyDescent="0.35">
      <c r="A7" s="6" t="s">
        <v>304</v>
      </c>
    </row>
    <row r="8" spans="1:1" x14ac:dyDescent="0.35">
      <c r="A8" s="6" t="s">
        <v>305</v>
      </c>
    </row>
    <row r="9" spans="1:1" x14ac:dyDescent="0.35">
      <c r="A9" s="6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</vt:lpstr>
      <vt:lpstr>Chi tiết</vt:lpstr>
      <vt:lpstr>Bỏ theo EDA</vt:lpstr>
      <vt:lpstr>Chú thích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Hwy Ja</cp:lastModifiedBy>
  <dcterms:created xsi:type="dcterms:W3CDTF">2026-09-30T09:19:59Z</dcterms:created>
  <dcterms:modified xsi:type="dcterms:W3CDTF">2026-09-30T09:20:09Z</dcterms:modified>
</cp:coreProperties>
</file>